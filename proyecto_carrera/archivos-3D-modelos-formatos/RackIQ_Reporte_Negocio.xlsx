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" sheetId="1" state="visible" r:id="rId1"/>
    <sheet xmlns:r="http://schemas.openxmlformats.org/officeDocument/2006/relationships" name="📦 Inventario" sheetId="2" state="visible" r:id="rId2"/>
    <sheet xmlns:r="http://schemas.openxmlformats.org/officeDocument/2006/relationships" name="↕️ Entradas y Salidas" sheetId="3" state="visible" r:id="rId3"/>
    <sheet xmlns:r="http://schemas.openxmlformats.org/officeDocument/2006/relationships" name="🚨 Mermas y Alertas" sheetId="4" state="visible" r:id="rId4"/>
    <sheet xmlns:r="http://schemas.openxmlformats.org/officeDocument/2006/relationships" name="📈 Rotación" sheetId="5" state="visible" r:id="rId5"/>
    <sheet xmlns:r="http://schemas.openxmlformats.org/officeDocument/2006/relationships" name="🚚 Proveedores" sheetId="6" state="visible" r:id="rId6"/>
    <sheet xmlns:r="http://schemas.openxmlformats.org/officeDocument/2006/relationships" name="🕐 Trazabi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0C2FF"/>
      <sz val="10"/>
    </font>
    <font>
      <name val="Arial"/>
      <b val="1"/>
      <color rgb="006B7A99"/>
      <sz val="9"/>
    </font>
    <font>
      <name val="Arial"/>
      <b val="1"/>
      <color rgb="0000C48C"/>
      <sz val="20"/>
    </font>
    <font>
      <name val="Arial"/>
      <color rgb="006B7A99"/>
      <sz val="8"/>
    </font>
    <font>
      <name val="Arial"/>
      <b val="1"/>
      <color rgb="00FF4B4B"/>
      <sz val="20"/>
    </font>
    <font>
      <name val="Arial"/>
      <b val="1"/>
      <color rgb="00FFB830"/>
      <sz val="20"/>
    </font>
    <font>
      <name val="Arial"/>
      <b val="1"/>
      <color rgb="0000C2FF"/>
      <sz val="20"/>
    </font>
    <font>
      <name val="Arial"/>
      <b val="1"/>
      <color rgb="00FFFFFF"/>
      <sz val="12"/>
    </font>
    <font>
      <name val="Arial"/>
      <b val="1"/>
      <color rgb="000D1B2A"/>
      <sz val="9"/>
    </font>
    <font>
      <name val="Arial"/>
      <b val="1"/>
      <color rgb="0000C2FF"/>
      <sz val="9"/>
    </font>
    <font>
      <name val="Arial"/>
      <color rgb="000D1B2A"/>
      <sz val="9"/>
    </font>
    <font>
      <name val="Arial"/>
      <b val="1"/>
      <color rgb="0000C48C"/>
      <sz val="9"/>
    </font>
    <font>
      <name val="Arial"/>
      <b val="1"/>
      <color rgb="00FF4B4B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FFB830"/>
      <sz val="9"/>
    </font>
    <font>
      <name val="Arial"/>
      <b val="1"/>
      <color rgb="000D1B2A"/>
      <sz val="11"/>
    </font>
    <font>
      <name val="Arial"/>
      <color rgb="00FF4B4B"/>
      <sz val="9"/>
    </font>
    <font>
      <name val="Arial"/>
      <color rgb="0000C48C"/>
      <sz val="9"/>
    </font>
    <font>
      <name val="Arial"/>
      <b val="1"/>
      <color rgb="00FFB830"/>
      <sz val="18"/>
    </font>
    <font>
      <name val="Arial"/>
      <b val="1"/>
      <color rgb="00FF4B4B"/>
      <sz val="18"/>
    </font>
    <font>
      <name val="Arial"/>
      <i val="1"/>
      <color rgb="00FF4B4B"/>
      <sz val="9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0F4F8"/>
      </patternFill>
    </fill>
    <fill>
      <patternFill patternType="solid">
        <fgColor rgb="0000C2FF"/>
      </patternFill>
    </fill>
    <fill>
      <patternFill patternType="solid">
        <fgColor rgb="00FFFFFF"/>
      </patternFill>
    </fill>
    <fill>
      <patternFill patternType="solid">
        <fgColor rgb="00FFF0F0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 wrapText="1"/>
    </xf>
    <xf numFmtId="164" fontId="12" fillId="3" borderId="2" applyAlignment="1" pivotButton="0" quotePrefix="0" xfId="0">
      <alignment horizontal="center" vertical="center"/>
    </xf>
    <xf numFmtId="164" fontId="12" fillId="5" borderId="2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0" fillId="3" borderId="2" applyAlignment="1" pivotButton="0" quotePrefix="0" xfId="0">
      <alignment horizontal="center" vertical="center"/>
    </xf>
    <xf numFmtId="165" fontId="19" fillId="3" borderId="2" applyAlignment="1" pivotButton="0" quotePrefix="0" xfId="0">
      <alignment horizontal="center" vertical="center"/>
    </xf>
    <xf numFmtId="165" fontId="20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165" fontId="19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165" fontId="20" fillId="3" borderId="2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2" fillId="3" borderId="0" applyAlignment="1" pivotButton="0" quotePrefix="0" xfId="0">
      <alignment horizontal="center"/>
    </xf>
    <xf numFmtId="9" fontId="12" fillId="3" borderId="2" applyAlignment="1" pivotButton="0" quotePrefix="0" xfId="0">
      <alignment horizontal="center" vertical="center"/>
    </xf>
    <xf numFmtId="9" fontId="12" fillId="5" borderId="2" applyAlignment="1" pivotButton="0" quotePrefix="0" xfId="0">
      <alignment horizontal="center" vertical="center"/>
    </xf>
    <xf numFmtId="2" fontId="12" fillId="3" borderId="2" applyAlignment="1" pivotButton="0" quotePrefix="0" xfId="0">
      <alignment horizontal="center" vertical="center"/>
    </xf>
    <xf numFmtId="166" fontId="12" fillId="3" borderId="2" applyAlignment="1" pivotButton="0" quotePrefix="0" xfId="0">
      <alignment horizontal="center" vertical="center"/>
    </xf>
    <xf numFmtId="2" fontId="12" fillId="5" borderId="2" applyAlignment="1" pivotButton="0" quotePrefix="0" xfId="0">
      <alignment horizontal="center" vertical="center"/>
    </xf>
    <xf numFmtId="166" fontId="12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23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Unidades Retiradas por Día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Resumen'!B26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Resumen'!$B$26:$H$26</f>
            </numRef>
          </cat>
          <val>
            <numRef>
              <f>'📊 Resumen'!$B$27</f>
            </numRef>
          </val>
        </ser>
        <ser>
          <idx val="1"/>
          <order val="1"/>
          <tx>
            <strRef>
              <f>'📊 Resumen'!C26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Resumen'!$B$26:$H$26</f>
            </numRef>
          </cat>
          <val>
            <numRef>
              <f>'📊 Resumen'!$C$27</f>
            </numRef>
          </val>
        </ser>
        <ser>
          <idx val="2"/>
          <order val="2"/>
          <tx>
            <strRef>
              <f>'📊 Resumen'!D26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Resumen'!$B$26:$H$26</f>
            </numRef>
          </cat>
          <val>
            <numRef>
              <f>'📊 Resumen'!$D$27</f>
            </numRef>
          </val>
        </ser>
        <ser>
          <idx val="3"/>
          <order val="3"/>
          <tx>
            <strRef>
              <f>'📊 Resumen'!E26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Resumen'!$B$26:$H$26</f>
            </numRef>
          </cat>
          <val>
            <numRef>
              <f>'📊 Resumen'!$E$27</f>
            </numRef>
          </val>
        </ser>
        <ser>
          <idx val="4"/>
          <order val="4"/>
          <tx>
            <strRef>
              <f>'📊 Resumen'!F26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Resumen'!$B$26:$H$26</f>
            </numRef>
          </cat>
          <val>
            <numRef>
              <f>'📊 Resumen'!$F$27</f>
            </numRef>
          </val>
        </ser>
        <ser>
          <idx val="5"/>
          <order val="5"/>
          <tx>
            <strRef>
              <f>'📊 Resumen'!G26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Resumen'!$B$26:$H$26</f>
            </numRef>
          </cat>
          <val>
            <numRef>
              <f>'📊 Resumen'!$G$27</f>
            </numRef>
          </val>
        </ser>
        <ser>
          <idx val="6"/>
          <order val="6"/>
          <tx>
            <strRef>
              <f>'📊 Resumen'!H26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Resumen'!$B$26:$H$26</f>
            </numRef>
          </cat>
          <val>
            <numRef>
              <f>'📊 Resumen'!$H$27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 de la 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Stock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'📦 Inventario'!B18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'📦 Inventario'!$A$19:$A$24</f>
            </numRef>
          </cat>
          <val>
            <numRef>
              <f>'📦 Inventario'!$B$19:$B$24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Ventas: Semana Actual vs Anterior</a:t>
            </a:r>
          </a:p>
        </rich>
      </tx>
    </title>
    <plotArea>
      <lineChart>
        <grouping val="standard"/>
        <ser>
          <idx val="0"/>
          <order val="0"/>
          <tx>
            <strRef>
              <f>'📈 Rotación'!B17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Rotación'!$A$18:$A$29</f>
            </numRef>
          </cat>
          <val>
            <numRef>
              <f>'📈 Rotación'!$B$18:$B$29</f>
            </numRef>
          </val>
        </ser>
        <ser>
          <idx val="1"/>
          <order val="1"/>
          <tx>
            <strRef>
              <f>'📈 Rotación'!C17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Rotación'!$A$18:$A$29</f>
            </numRef>
          </cat>
          <val>
            <numRef>
              <f>'📈 Rotación'!$C$18:$C$29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Unidades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16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 ht="40" customHeight="1">
      <c r="A1" s="1" t="inlineStr">
        <is>
          <t>RackIQ  –  Reporte de Salud del Negocio  |  Semana del 17 al 23 de Marzo 2025</t>
        </is>
      </c>
    </row>
    <row r="2" ht="30" customHeight="1">
      <c r="A2" s="2" t="inlineStr">
        <is>
          <t>Sucursal: Tienda Centro  |  Generado: 24/03/2025 08:00 AM  |  Periodo: Semanal</t>
        </is>
      </c>
    </row>
    <row r="4" ht="20" customHeight="1">
      <c r="A4" s="3" t="inlineStr">
        <is>
          <t>Total Unidades
Retiradas</t>
        </is>
      </c>
      <c r="C4" s="3" t="inlineStr">
        <is>
          <t>Mermas
Confirmadas</t>
        </is>
      </c>
      <c r="E4" s="3" t="inlineStr">
        <is>
          <t>Alertas Stock
Bajo</t>
        </is>
      </c>
      <c r="G4" s="3" t="inlineStr">
        <is>
          <t>Discrepancias
Proveedor</t>
        </is>
      </c>
      <c r="I4" s="3" t="inlineStr">
        <is>
          <t>Rotación
Promedio</t>
        </is>
      </c>
    </row>
    <row r="5" ht="30" customHeight="1">
      <c r="A5" s="4" t="inlineStr">
        <is>
          <t>1,248</t>
        </is>
      </c>
      <c r="C5" s="5" t="inlineStr">
        <is>
          <t>23</t>
        </is>
      </c>
      <c r="E5" s="6" t="inlineStr">
        <is>
          <t>7</t>
        </is>
      </c>
      <c r="G5" s="7" t="inlineStr">
        <is>
          <t>2</t>
        </is>
      </c>
      <c r="I5" s="4" t="inlineStr">
        <is>
          <t>3.4 días</t>
        </is>
      </c>
    </row>
    <row r="6" ht="20" customHeight="1">
      <c r="A6" s="8" t="inlineStr"/>
      <c r="C6" s="8" t="inlineStr"/>
      <c r="E6" s="8" t="inlineStr"/>
      <c r="G6" s="8" t="inlineStr"/>
      <c r="I6" s="8" t="inlineStr"/>
    </row>
    <row r="7" ht="18" customHeight="1">
      <c r="A7" s="9" t="inlineStr">
        <is>
          <t>↑ +12% vs semana anterior</t>
        </is>
      </c>
      <c r="C7" s="9" t="inlineStr">
        <is>
          <t>↓  -4 vs semana anterior</t>
        </is>
      </c>
      <c r="E7" s="9" t="inlineStr">
        <is>
          <t>Requieren atención hoy</t>
        </is>
      </c>
      <c r="G7" s="9" t="inlineStr">
        <is>
          <t>$ 340 MXN en dif.</t>
        </is>
      </c>
      <c r="I7" s="9" t="inlineStr">
        <is>
          <t>Saludable ✓</t>
        </is>
      </c>
    </row>
    <row r="8" ht="16" customHeight="1"/>
    <row r="9" ht="10" customHeight="1"/>
    <row r="10" ht="22" customHeight="1">
      <c r="A10" s="10" t="inlineStr">
        <is>
          <t>🏆  TOP 10 PRODUCTOS POR UNIDADES RETIRADAS  –  Semana</t>
        </is>
      </c>
    </row>
    <row r="11">
      <c r="A11" s="11" t="inlineStr">
        <is>
          <t>#</t>
        </is>
      </c>
      <c r="B11" s="11" t="inlineStr">
        <is>
          <t>Producto</t>
        </is>
      </c>
      <c r="C11" s="11" t="inlineStr">
        <is>
          <t>Estante</t>
        </is>
      </c>
      <c r="D11" s="11" t="inlineStr">
        <is>
          <t>Unidades Retiradas</t>
        </is>
      </c>
      <c r="E11" s="11" t="inlineStr">
        <is>
          <t>Peso Total (kg)</t>
        </is>
      </c>
      <c r="F11" s="11" t="inlineStr">
        <is>
          <t>% del Total</t>
        </is>
      </c>
      <c r="G11" s="11" t="inlineStr">
        <is>
          <t>Tendencia</t>
        </is>
      </c>
    </row>
    <row r="12">
      <c r="A12" s="12" t="n">
        <v>1</v>
      </c>
      <c r="B12" s="13" t="inlineStr">
        <is>
          <t>Refresco Cola 600ml</t>
        </is>
      </c>
      <c r="C12" s="13" t="inlineStr">
        <is>
          <t>E-01</t>
        </is>
      </c>
      <c r="D12" s="13" t="n">
        <v>312</v>
      </c>
      <c r="E12" s="13" t="n">
        <v>187.2</v>
      </c>
      <c r="F12" s="13" t="inlineStr">
        <is>
          <t>25.0%</t>
        </is>
      </c>
      <c r="G12" s="14" t="inlineStr">
        <is>
          <t>▲ Sube</t>
        </is>
      </c>
    </row>
    <row r="13">
      <c r="A13" s="15" t="n">
        <v>2</v>
      </c>
      <c r="B13" s="16" t="inlineStr">
        <is>
          <t>Agua Purificada 1L</t>
        </is>
      </c>
      <c r="C13" s="16" t="inlineStr">
        <is>
          <t>E-02</t>
        </is>
      </c>
      <c r="D13" s="16" t="n">
        <v>289</v>
      </c>
      <c r="E13" s="16" t="n">
        <v>289</v>
      </c>
      <c r="F13" s="16" t="inlineStr">
        <is>
          <t>23.2%</t>
        </is>
      </c>
      <c r="G13" s="17" t="inlineStr">
        <is>
          <t>▲ Sube</t>
        </is>
      </c>
    </row>
    <row r="14">
      <c r="A14" s="12" t="n">
        <v>3</v>
      </c>
      <c r="B14" s="13" t="inlineStr">
        <is>
          <t>Papas Fritas 50g</t>
        </is>
      </c>
      <c r="C14" s="13" t="inlineStr">
        <is>
          <t>E-03</t>
        </is>
      </c>
      <c r="D14" s="13" t="n">
        <v>178</v>
      </c>
      <c r="E14" s="13" t="n">
        <v>8.9</v>
      </c>
      <c r="F14" s="13" t="inlineStr">
        <is>
          <t>14.3%</t>
        </is>
      </c>
      <c r="G14" s="18" t="inlineStr">
        <is>
          <t>→ Estable</t>
        </is>
      </c>
    </row>
    <row r="15">
      <c r="A15" s="15" t="n">
        <v>4</v>
      </c>
      <c r="B15" s="16" t="inlineStr">
        <is>
          <t>Jugo Naranja 250ml</t>
        </is>
      </c>
      <c r="C15" s="16" t="inlineStr">
        <is>
          <t>E-04</t>
        </is>
      </c>
      <c r="D15" s="16" t="n">
        <v>143</v>
      </c>
      <c r="E15" s="16" t="n">
        <v>35.75</v>
      </c>
      <c r="F15" s="16" t="inlineStr">
        <is>
          <t>11.5%</t>
        </is>
      </c>
      <c r="G15" s="19" t="inlineStr">
        <is>
          <t>▼ Baja</t>
        </is>
      </c>
    </row>
    <row r="16">
      <c r="A16" s="12" t="n">
        <v>5</v>
      </c>
      <c r="B16" s="13" t="inlineStr">
        <is>
          <t>Leche Entera 1L</t>
        </is>
      </c>
      <c r="C16" s="13" t="inlineStr">
        <is>
          <t>E-05</t>
        </is>
      </c>
      <c r="D16" s="13" t="n">
        <v>112</v>
      </c>
      <c r="E16" s="13" t="n">
        <v>112</v>
      </c>
      <c r="F16" s="13" t="inlineStr">
        <is>
          <t>9.0%</t>
        </is>
      </c>
      <c r="G16" s="18" t="inlineStr">
        <is>
          <t>→ Estable</t>
        </is>
      </c>
    </row>
    <row r="17">
      <c r="A17" s="15" t="n">
        <v>6</v>
      </c>
      <c r="B17" s="16" t="inlineStr">
        <is>
          <t>Galletas Surtidas 100g</t>
        </is>
      </c>
      <c r="C17" s="16" t="inlineStr">
        <is>
          <t>E-06</t>
        </is>
      </c>
      <c r="D17" s="16" t="n">
        <v>87</v>
      </c>
      <c r="E17" s="16" t="n">
        <v>8.699999999999999</v>
      </c>
      <c r="F17" s="16" t="inlineStr">
        <is>
          <t>7.0%</t>
        </is>
      </c>
      <c r="G17" s="17" t="inlineStr">
        <is>
          <t>▲ Sube</t>
        </is>
      </c>
    </row>
    <row r="18">
      <c r="A18" s="12" t="n">
        <v>7</v>
      </c>
      <c r="B18" s="13" t="inlineStr">
        <is>
          <t>Atún en Lata 140g</t>
        </is>
      </c>
      <c r="C18" s="13" t="inlineStr">
        <is>
          <t>E-07</t>
        </is>
      </c>
      <c r="D18" s="13" t="n">
        <v>56</v>
      </c>
      <c r="E18" s="13" t="n">
        <v>7.84</v>
      </c>
      <c r="F18" s="13" t="inlineStr">
        <is>
          <t>4.5%</t>
        </is>
      </c>
      <c r="G18" s="20" t="inlineStr">
        <is>
          <t>▼ Baja</t>
        </is>
      </c>
    </row>
    <row r="19">
      <c r="A19" s="15" t="n">
        <v>8</v>
      </c>
      <c r="B19" s="16" t="inlineStr">
        <is>
          <t>Sabritas Rancheritos 45g</t>
        </is>
      </c>
      <c r="C19" s="16" t="inlineStr">
        <is>
          <t>E-08</t>
        </is>
      </c>
      <c r="D19" s="16" t="n">
        <v>34</v>
      </c>
      <c r="E19" s="16" t="n">
        <v>1.53</v>
      </c>
      <c r="F19" s="16" t="inlineStr">
        <is>
          <t>2.7%</t>
        </is>
      </c>
      <c r="G19" s="21" t="inlineStr">
        <is>
          <t>→ Estable</t>
        </is>
      </c>
    </row>
    <row r="20">
      <c r="A20" s="12" t="n">
        <v>9</v>
      </c>
      <c r="B20" s="13" t="inlineStr">
        <is>
          <t>Café Soluble 100g</t>
        </is>
      </c>
      <c r="C20" s="13" t="inlineStr">
        <is>
          <t>E-09</t>
        </is>
      </c>
      <c r="D20" s="13" t="n">
        <v>23</v>
      </c>
      <c r="E20" s="13" t="n">
        <v>2.3</v>
      </c>
      <c r="F20" s="13" t="inlineStr">
        <is>
          <t>1.8%</t>
        </is>
      </c>
      <c r="G20" s="14" t="inlineStr">
        <is>
          <t>▲ Sube</t>
        </is>
      </c>
    </row>
    <row r="21">
      <c r="A21" s="15" t="n">
        <v>10</v>
      </c>
      <c r="B21" s="16" t="inlineStr">
        <is>
          <t>Jugo Manzana 500ml</t>
        </is>
      </c>
      <c r="C21" s="16" t="inlineStr">
        <is>
          <t>E-10</t>
        </is>
      </c>
      <c r="D21" s="16" t="n">
        <v>14</v>
      </c>
      <c r="E21" s="16" t="n">
        <v>7</v>
      </c>
      <c r="F21" s="16" t="inlineStr">
        <is>
          <t>1.1%</t>
        </is>
      </c>
      <c r="G21" s="19" t="inlineStr">
        <is>
          <t>▼ Baja</t>
        </is>
      </c>
    </row>
    <row r="24" ht="10" customHeight="1"/>
    <row r="25">
      <c r="A25" s="10" t="inlineStr">
        <is>
          <t>📈  VENTAS DIARIAS (Unidades Retiradas)  –  Semana en Curso</t>
        </is>
      </c>
    </row>
    <row r="26">
      <c r="A26" s="11" t="inlineStr">
        <is>
          <t>Día</t>
        </is>
      </c>
      <c r="B26" s="11" t="inlineStr">
        <is>
          <t>Lunes</t>
        </is>
      </c>
      <c r="C26" s="11" t="inlineStr">
        <is>
          <t>Martes</t>
        </is>
      </c>
      <c r="D26" s="11" t="inlineStr">
        <is>
          <t>Miércoles</t>
        </is>
      </c>
      <c r="E26" s="11" t="inlineStr">
        <is>
          <t>Jueves</t>
        </is>
      </c>
      <c r="F26" s="11" t="inlineStr">
        <is>
          <t>Viernes</t>
        </is>
      </c>
      <c r="G26" s="11" t="inlineStr">
        <is>
          <t>Sábado</t>
        </is>
      </c>
      <c r="H26" s="11" t="inlineStr">
        <is>
          <t>Domingo</t>
        </is>
      </c>
      <c r="I26" s="11" t="inlineStr">
        <is>
          <t>TOTAL</t>
        </is>
      </c>
    </row>
    <row r="27">
      <c r="A27" s="21" t="inlineStr">
        <is>
          <t>Unidades</t>
        </is>
      </c>
      <c r="B27" s="16" t="n">
        <v>145</v>
      </c>
      <c r="C27" s="16" t="n">
        <v>162</v>
      </c>
      <c r="D27" s="16" t="n">
        <v>178</v>
      </c>
      <c r="E27" s="16" t="n">
        <v>195</v>
      </c>
      <c r="F27" s="16" t="n">
        <v>210</v>
      </c>
      <c r="G27" s="16" t="n">
        <v>248</v>
      </c>
      <c r="H27" s="16" t="n">
        <v>110</v>
      </c>
      <c r="I27" s="17">
        <f>SUM(B27:H27)</f>
        <v/>
      </c>
    </row>
  </sheetData>
  <mergeCells count="24">
    <mergeCell ref="C6:D6"/>
    <mergeCell ref="I6:J6"/>
    <mergeCell ref="C5:D5"/>
    <mergeCell ref="E5:F5"/>
    <mergeCell ref="A10:J10"/>
    <mergeCell ref="A6:B6"/>
    <mergeCell ref="C4:D4"/>
    <mergeCell ref="E4:F4"/>
    <mergeCell ref="A7:B7"/>
    <mergeCell ref="G7:H7"/>
    <mergeCell ref="I7:J7"/>
    <mergeCell ref="G6:H6"/>
    <mergeCell ref="A1:J1"/>
    <mergeCell ref="E6:F6"/>
    <mergeCell ref="A5:B5"/>
    <mergeCell ref="G5:H5"/>
    <mergeCell ref="I5:J5"/>
    <mergeCell ref="A25:J25"/>
    <mergeCell ref="A4:B4"/>
    <mergeCell ref="G4:H4"/>
    <mergeCell ref="I4:J4"/>
    <mergeCell ref="C7:D7"/>
    <mergeCell ref="E7:F7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14" customWidth="1" min="4" max="4"/>
    <col width="15" customWidth="1" min="5" max="5"/>
    <col width="14" customWidth="1" min="6" max="6"/>
    <col width="10" customWidth="1" min="7" max="7"/>
    <col width="14" customWidth="1" min="8" max="8"/>
    <col width="12" customWidth="1" min="9" max="9"/>
    <col width="16" customWidth="1" min="10" max="10"/>
    <col width="14" customWidth="1" min="11" max="11"/>
    <col width="18" customWidth="1" min="12" max="12"/>
  </cols>
  <sheetData>
    <row r="1" ht="35" customHeight="1">
      <c r="A1" s="22" t="inlineStr">
        <is>
          <t>RackIQ  –  Estado de Inventario en Tiempo Real  |  Actualizado: 24/03/2025 07:58 AM</t>
        </is>
      </c>
    </row>
    <row r="2">
      <c r="A2" s="23" t="inlineStr">
        <is>
          <t>Estante ID</t>
        </is>
      </c>
      <c r="B2" s="23" t="inlineStr">
        <is>
          <t>Producto</t>
        </is>
      </c>
      <c r="C2" s="23" t="inlineStr">
        <is>
          <t>Categoría</t>
        </is>
      </c>
      <c r="D2" s="23" t="inlineStr">
        <is>
          <t>Peso Tara (kg)</t>
        </is>
      </c>
      <c r="E2" s="23" t="inlineStr">
        <is>
          <t>Peso Actual (kg)</t>
        </is>
      </c>
      <c r="F2" s="23" t="inlineStr">
        <is>
          <t>Cap. Máx (kg)</t>
        </is>
      </c>
      <c r="G2" s="23" t="inlineStr">
        <is>
          <t>% Lleno</t>
        </is>
      </c>
      <c r="H2" s="23" t="inlineStr">
        <is>
          <t>Unidades Est.</t>
        </is>
      </c>
      <c r="I2" s="23" t="inlineStr">
        <is>
          <t>Umbral Bajo</t>
        </is>
      </c>
      <c r="J2" s="23" t="inlineStr">
        <is>
          <t>Estado</t>
        </is>
      </c>
      <c r="K2" s="23" t="inlineStr">
        <is>
          <t>Último Cambio</t>
        </is>
      </c>
      <c r="L2" s="23" t="inlineStr">
        <is>
          <t>Observación</t>
        </is>
      </c>
    </row>
    <row r="3">
      <c r="A3" s="13" t="inlineStr">
        <is>
          <t>E-01</t>
        </is>
      </c>
      <c r="B3" s="13" t="inlineStr">
        <is>
          <t>Refresco Cola 600ml</t>
        </is>
      </c>
      <c r="C3" s="13" t="inlineStr">
        <is>
          <t>Bebidas</t>
        </is>
      </c>
      <c r="D3" s="13" t="n">
        <v>0.5</v>
      </c>
      <c r="E3" s="13" t="n">
        <v>8.4</v>
      </c>
      <c r="F3" s="13" t="n">
        <v>30</v>
      </c>
      <c r="G3" s="24">
        <f>IF(F3=0,"-",(E3/F3))</f>
        <v/>
      </c>
      <c r="H3" s="13" t="inlineStr">
        <is>
          <t>14</t>
        </is>
      </c>
      <c r="I3" s="13" t="inlineStr">
        <is>
          <t>20%</t>
        </is>
      </c>
      <c r="J3" s="14" t="inlineStr">
        <is>
          <t>🟢 OK</t>
        </is>
      </c>
      <c r="K3" s="13" t="inlineStr">
        <is>
          <t>07:45</t>
        </is>
      </c>
      <c r="L3" s="13" t="inlineStr"/>
    </row>
    <row r="4">
      <c r="A4" s="16" t="inlineStr">
        <is>
          <t>E-02</t>
        </is>
      </c>
      <c r="B4" s="16" t="inlineStr">
        <is>
          <t>Agua Purificada 1L</t>
        </is>
      </c>
      <c r="C4" s="16" t="inlineStr">
        <is>
          <t>Bebidas</t>
        </is>
      </c>
      <c r="D4" s="16" t="n">
        <v>0.3</v>
      </c>
      <c r="E4" s="16" t="n">
        <v>5</v>
      </c>
      <c r="F4" s="16" t="n">
        <v>25</v>
      </c>
      <c r="G4" s="25">
        <f>IF(F4=0,"-",(E4/F4))</f>
        <v/>
      </c>
      <c r="H4" s="16" t="inlineStr">
        <is>
          <t>5</t>
        </is>
      </c>
      <c r="I4" s="16" t="inlineStr">
        <is>
          <t>15%</t>
        </is>
      </c>
      <c r="J4" s="19" t="inlineStr">
        <is>
          <t>🔴 Stock Bajo</t>
        </is>
      </c>
      <c r="K4" s="16" t="inlineStr">
        <is>
          <t>07:30</t>
        </is>
      </c>
      <c r="L4" s="16" t="inlineStr">
        <is>
          <t>Reponer hoy</t>
        </is>
      </c>
    </row>
    <row r="5">
      <c r="A5" s="13" t="inlineStr">
        <is>
          <t>E-03</t>
        </is>
      </c>
      <c r="B5" s="13" t="inlineStr">
        <is>
          <t>Papas Fritas 50g</t>
        </is>
      </c>
      <c r="C5" s="13" t="inlineStr">
        <is>
          <t>Botanas</t>
        </is>
      </c>
      <c r="D5" s="13" t="n">
        <v>0.2</v>
      </c>
      <c r="E5" s="13" t="n">
        <v>1.1</v>
      </c>
      <c r="F5" s="13" t="n">
        <v>5</v>
      </c>
      <c r="G5" s="24">
        <f>IF(F5=0,"-",(E5/F5))</f>
        <v/>
      </c>
      <c r="H5" s="13" t="inlineStr">
        <is>
          <t>22</t>
        </is>
      </c>
      <c r="I5" s="13" t="inlineStr">
        <is>
          <t>25%</t>
        </is>
      </c>
      <c r="J5" s="26" t="inlineStr">
        <is>
          <t>🟡 Bajo</t>
        </is>
      </c>
      <c r="K5" s="13" t="inlineStr">
        <is>
          <t>06:50</t>
        </is>
      </c>
      <c r="L5" s="13" t="inlineStr">
        <is>
          <t>Revisar</t>
        </is>
      </c>
    </row>
    <row r="6">
      <c r="A6" s="16" t="inlineStr">
        <is>
          <t>E-04</t>
        </is>
      </c>
      <c r="B6" s="16" t="inlineStr">
        <is>
          <t>Jugo Naranja 250ml</t>
        </is>
      </c>
      <c r="C6" s="16" t="inlineStr">
        <is>
          <t>Bebidas</t>
        </is>
      </c>
      <c r="D6" s="16" t="n">
        <v>0.4</v>
      </c>
      <c r="E6" s="16" t="n">
        <v>12.5</v>
      </c>
      <c r="F6" s="16" t="n">
        <v>20</v>
      </c>
      <c r="G6" s="25">
        <f>IF(F6=0,"-",(E6/F6))</f>
        <v/>
      </c>
      <c r="H6" s="16" t="inlineStr">
        <is>
          <t>50</t>
        </is>
      </c>
      <c r="I6" s="16" t="inlineStr">
        <is>
          <t>20%</t>
        </is>
      </c>
      <c r="J6" s="17" t="inlineStr">
        <is>
          <t>🟢 OK</t>
        </is>
      </c>
      <c r="K6" s="16" t="inlineStr">
        <is>
          <t>07:55</t>
        </is>
      </c>
      <c r="L6" s="16" t="inlineStr"/>
    </row>
    <row r="7">
      <c r="A7" s="13" t="inlineStr">
        <is>
          <t>E-05</t>
        </is>
      </c>
      <c r="B7" s="13" t="inlineStr">
        <is>
          <t>Leche Entera 1L</t>
        </is>
      </c>
      <c r="C7" s="13" t="inlineStr">
        <is>
          <t>Lácteos</t>
        </is>
      </c>
      <c r="D7" s="13" t="n">
        <v>0.3</v>
      </c>
      <c r="E7" s="13" t="n">
        <v>18</v>
      </c>
      <c r="F7" s="13" t="n">
        <v>24</v>
      </c>
      <c r="G7" s="24">
        <f>IF(F7=0,"-",(E7/F7))</f>
        <v/>
      </c>
      <c r="H7" s="13" t="inlineStr">
        <is>
          <t>18</t>
        </is>
      </c>
      <c r="I7" s="13" t="inlineStr">
        <is>
          <t>25%</t>
        </is>
      </c>
      <c r="J7" s="14" t="inlineStr">
        <is>
          <t>🟢 OK</t>
        </is>
      </c>
      <c r="K7" s="13" t="inlineStr">
        <is>
          <t>07:10</t>
        </is>
      </c>
      <c r="L7" s="13" t="inlineStr"/>
    </row>
    <row r="8">
      <c r="A8" s="16" t="inlineStr">
        <is>
          <t>E-06</t>
        </is>
      </c>
      <c r="B8" s="16" t="inlineStr">
        <is>
          <t>Galletas Surtidas 100g</t>
        </is>
      </c>
      <c r="C8" s="16" t="inlineStr">
        <is>
          <t>Botanas</t>
        </is>
      </c>
      <c r="D8" s="16" t="n">
        <v>0.2</v>
      </c>
      <c r="E8" s="16" t="n">
        <v>0.8</v>
      </c>
      <c r="F8" s="16" t="n">
        <v>8</v>
      </c>
      <c r="G8" s="25">
        <f>IF(F8=0,"-",(E8/F8))</f>
        <v/>
      </c>
      <c r="H8" s="16" t="inlineStr">
        <is>
          <t>8</t>
        </is>
      </c>
      <c r="I8" s="16" t="inlineStr">
        <is>
          <t>30%</t>
        </is>
      </c>
      <c r="J8" s="19" t="inlineStr">
        <is>
          <t>🔴 Stock Bajo</t>
        </is>
      </c>
      <c r="K8" s="16" t="inlineStr">
        <is>
          <t>06:40</t>
        </is>
      </c>
      <c r="L8" s="16" t="inlineStr">
        <is>
          <t>Pedido auto</t>
        </is>
      </c>
    </row>
    <row r="9">
      <c r="A9" s="13" t="inlineStr">
        <is>
          <t>E-07</t>
        </is>
      </c>
      <c r="B9" s="13" t="inlineStr">
        <is>
          <t>Atún en Lata 140g</t>
        </is>
      </c>
      <c r="C9" s="13" t="inlineStr">
        <is>
          <t>Enlatados</t>
        </is>
      </c>
      <c r="D9" s="13" t="n">
        <v>0.3</v>
      </c>
      <c r="E9" s="13" t="n">
        <v>4.2</v>
      </c>
      <c r="F9" s="13" t="n">
        <v>14</v>
      </c>
      <c r="G9" s="24">
        <f>IF(F9=0,"-",(E9/F9))</f>
        <v/>
      </c>
      <c r="H9" s="13" t="inlineStr">
        <is>
          <t>30</t>
        </is>
      </c>
      <c r="I9" s="13" t="inlineStr">
        <is>
          <t>20%</t>
        </is>
      </c>
      <c r="J9" s="14" t="inlineStr">
        <is>
          <t>🟢 OK</t>
        </is>
      </c>
      <c r="K9" s="13" t="inlineStr">
        <is>
          <t>07:00</t>
        </is>
      </c>
      <c r="L9" s="13" t="inlineStr"/>
    </row>
    <row r="10">
      <c r="A10" s="16" t="inlineStr">
        <is>
          <t>E-08</t>
        </is>
      </c>
      <c r="B10" s="16" t="inlineStr">
        <is>
          <t>Sabritas Rancheritos 45g</t>
        </is>
      </c>
      <c r="C10" s="16" t="inlineStr">
        <is>
          <t>Botanas</t>
        </is>
      </c>
      <c r="D10" s="16" t="n">
        <v>0.1</v>
      </c>
      <c r="E10" s="16" t="n">
        <v>6.3</v>
      </c>
      <c r="F10" s="16" t="n">
        <v>9</v>
      </c>
      <c r="G10" s="25">
        <f>IF(F10=0,"-",(E10/F10))</f>
        <v/>
      </c>
      <c r="H10" s="16" t="inlineStr">
        <is>
          <t>140</t>
        </is>
      </c>
      <c r="I10" s="16" t="inlineStr">
        <is>
          <t>30%</t>
        </is>
      </c>
      <c r="J10" s="17" t="inlineStr">
        <is>
          <t>🟢 OK</t>
        </is>
      </c>
      <c r="K10" s="16" t="inlineStr">
        <is>
          <t>07:20</t>
        </is>
      </c>
      <c r="L10" s="16" t="inlineStr"/>
    </row>
    <row r="11">
      <c r="A11" s="13" t="inlineStr">
        <is>
          <t>E-09</t>
        </is>
      </c>
      <c r="B11" s="13" t="inlineStr">
        <is>
          <t>Café Soluble 100g</t>
        </is>
      </c>
      <c r="C11" s="13" t="inlineStr">
        <is>
          <t>Abarrotes</t>
        </is>
      </c>
      <c r="D11" s="13" t="n">
        <v>0.2</v>
      </c>
      <c r="E11" s="13" t="n">
        <v>2</v>
      </c>
      <c r="F11" s="13" t="n">
        <v>10</v>
      </c>
      <c r="G11" s="24">
        <f>IF(F11=0,"-",(E11/F11))</f>
        <v/>
      </c>
      <c r="H11" s="13" t="inlineStr">
        <is>
          <t>20</t>
        </is>
      </c>
      <c r="I11" s="13" t="inlineStr">
        <is>
          <t>20%</t>
        </is>
      </c>
      <c r="J11" s="26" t="inlineStr">
        <is>
          <t>🟡 Bajo</t>
        </is>
      </c>
      <c r="K11" s="13" t="inlineStr">
        <is>
          <t>06:55</t>
        </is>
      </c>
      <c r="L11" s="13" t="inlineStr"/>
    </row>
    <row r="12">
      <c r="A12" s="16" t="inlineStr">
        <is>
          <t>E-10</t>
        </is>
      </c>
      <c r="B12" s="16" t="inlineStr">
        <is>
          <t>Jugo Manzana 500ml</t>
        </is>
      </c>
      <c r="C12" s="16" t="inlineStr">
        <is>
          <t>Bebidas</t>
        </is>
      </c>
      <c r="D12" s="16" t="n">
        <v>0.3</v>
      </c>
      <c r="E12" s="16" t="n">
        <v>7.5</v>
      </c>
      <c r="F12" s="16" t="n">
        <v>15</v>
      </c>
      <c r="G12" s="25">
        <f>IF(F12=0,"-",(E12/F12))</f>
        <v/>
      </c>
      <c r="H12" s="16" t="inlineStr">
        <is>
          <t>15</t>
        </is>
      </c>
      <c r="I12" s="16" t="inlineStr">
        <is>
          <t>25%</t>
        </is>
      </c>
      <c r="J12" s="17" t="inlineStr">
        <is>
          <t>🟢 OK</t>
        </is>
      </c>
      <c r="K12" s="16" t="inlineStr">
        <is>
          <t>07:40</t>
        </is>
      </c>
      <c r="L12" s="16" t="inlineStr"/>
    </row>
    <row r="13">
      <c r="A13" s="13" t="inlineStr">
        <is>
          <t>E-11</t>
        </is>
      </c>
      <c r="B13" s="13" t="inlineStr">
        <is>
          <t>Cereal Avena 500g</t>
        </is>
      </c>
      <c r="C13" s="13" t="inlineStr">
        <is>
          <t>Abarrotes</t>
        </is>
      </c>
      <c r="D13" s="13" t="n">
        <v>0.3</v>
      </c>
      <c r="E13" s="13" t="n">
        <v>4</v>
      </c>
      <c r="F13" s="13" t="n">
        <v>10</v>
      </c>
      <c r="G13" s="24">
        <f>IF(F13=0,"-",(E13/F13))</f>
        <v/>
      </c>
      <c r="H13" s="13" t="inlineStr">
        <is>
          <t>8</t>
        </is>
      </c>
      <c r="I13" s="13" t="inlineStr">
        <is>
          <t>20%</t>
        </is>
      </c>
      <c r="J13" s="14" t="inlineStr">
        <is>
          <t>🟢 OK</t>
        </is>
      </c>
      <c r="K13" s="13" t="inlineStr">
        <is>
          <t>07:15</t>
        </is>
      </c>
      <c r="L13" s="13" t="inlineStr"/>
    </row>
    <row r="14">
      <c r="A14" s="16" t="inlineStr">
        <is>
          <t>E-12</t>
        </is>
      </c>
      <c r="B14" s="16" t="inlineStr">
        <is>
          <t>Chicles Menta x10</t>
        </is>
      </c>
      <c r="C14" s="16" t="inlineStr">
        <is>
          <t>Dulces</t>
        </is>
      </c>
      <c r="D14" s="16" t="n">
        <v>0.1</v>
      </c>
      <c r="E14" s="16" t="n">
        <v>0.5</v>
      </c>
      <c r="F14" s="16" t="n">
        <v>5</v>
      </c>
      <c r="G14" s="25">
        <f>IF(F14=0,"-",(E14/F14))</f>
        <v/>
      </c>
      <c r="H14" s="16" t="inlineStr">
        <is>
          <t>50</t>
        </is>
      </c>
      <c r="I14" s="16" t="inlineStr">
        <is>
          <t>30%</t>
        </is>
      </c>
      <c r="J14" s="19" t="inlineStr">
        <is>
          <t>🔴 Stock Bajo</t>
        </is>
      </c>
      <c r="K14" s="16" t="inlineStr">
        <is>
          <t>06:30</t>
        </is>
      </c>
      <c r="L14" s="16" t="inlineStr">
        <is>
          <t>Urge surtir</t>
        </is>
      </c>
    </row>
    <row r="17">
      <c r="A17" s="27" t="inlineStr">
        <is>
          <t>Distribución de Stock por Categoría</t>
        </is>
      </c>
    </row>
    <row r="18">
      <c r="A18" t="inlineStr">
        <is>
          <t>Categoría</t>
        </is>
      </c>
      <c r="B18" t="inlineStr">
        <is>
          <t>Peso (kg)</t>
        </is>
      </c>
    </row>
    <row r="19">
      <c r="A19" t="inlineStr">
        <is>
          <t>Bebidas</t>
        </is>
      </c>
      <c r="B19" t="n">
        <v>33.4</v>
      </c>
    </row>
    <row r="20">
      <c r="A20" t="inlineStr">
        <is>
          <t>Botanas</t>
        </is>
      </c>
      <c r="B20" t="n">
        <v>8.199999999999999</v>
      </c>
    </row>
    <row r="21">
      <c r="A21" t="inlineStr">
        <is>
          <t>Lácteos</t>
        </is>
      </c>
      <c r="B21" t="n">
        <v>18</v>
      </c>
    </row>
    <row r="22">
      <c r="A22" t="inlineStr">
        <is>
          <t>Enlatados</t>
        </is>
      </c>
      <c r="B22" t="n">
        <v>4.2</v>
      </c>
    </row>
    <row r="23">
      <c r="A23" t="inlineStr">
        <is>
          <t>Abarrotes</t>
        </is>
      </c>
      <c r="B23" t="n">
        <v>6</v>
      </c>
    </row>
    <row r="24">
      <c r="A24" t="inlineStr">
        <is>
          <t>Dulces</t>
        </is>
      </c>
      <c r="B24" t="n">
        <v>0.5</v>
      </c>
    </row>
  </sheetData>
  <mergeCells count="2">
    <mergeCell ref="A17:E17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24" customWidth="1" min="4" max="4"/>
    <col width="12" customWidth="1" min="5" max="5"/>
    <col width="14" customWidth="1" min="6" max="6"/>
    <col width="12" customWidth="1" min="7" max="7"/>
    <col width="14" customWidth="1" min="8" max="8"/>
    <col width="22" customWidth="1" min="9" max="9"/>
    <col width="18" customWidth="1" min="10" max="10"/>
  </cols>
  <sheetData>
    <row r="1" ht="35" customHeight="1">
      <c r="A1" s="22" t="inlineStr">
        <is>
          <t>RackIQ  –  Registro de Entradas y Salidas  |  Semana 17-23 Mar 2025</t>
        </is>
      </c>
    </row>
    <row r="2">
      <c r="A2" s="23" t="inlineStr">
        <is>
          <t>Fecha</t>
        </is>
      </c>
      <c r="B2" s="23" t="inlineStr">
        <is>
          <t>Hora</t>
        </is>
      </c>
      <c r="C2" s="23" t="inlineStr">
        <is>
          <t>Estante</t>
        </is>
      </c>
      <c r="D2" s="23" t="inlineStr">
        <is>
          <t>Producto</t>
        </is>
      </c>
      <c r="E2" s="23" t="inlineStr">
        <is>
          <t>Tipo</t>
        </is>
      </c>
      <c r="F2" s="23" t="inlineStr">
        <is>
          <t>Peso Δ (kg)</t>
        </is>
      </c>
      <c r="G2" s="23" t="inlineStr">
        <is>
          <t>Unidades Δ</t>
        </is>
      </c>
      <c r="H2" s="23" t="inlineStr">
        <is>
          <t>Peso Post (kg)</t>
        </is>
      </c>
      <c r="I2" s="23" t="inlineStr">
        <is>
          <t>Evento</t>
        </is>
      </c>
      <c r="J2" s="23" t="inlineStr">
        <is>
          <t>Usuario/Sistema</t>
        </is>
      </c>
    </row>
    <row r="3">
      <c r="A3" s="13" t="inlineStr">
        <is>
          <t>17/03</t>
        </is>
      </c>
      <c r="B3" s="13" t="inlineStr">
        <is>
          <t>08:15</t>
        </is>
      </c>
      <c r="C3" s="13" t="inlineStr">
        <is>
          <t>E-01</t>
        </is>
      </c>
      <c r="D3" s="13" t="inlineStr">
        <is>
          <t>Refresco Cola 600ml</t>
        </is>
      </c>
      <c r="E3" s="28" t="inlineStr">
        <is>
          <t>SALIDA</t>
        </is>
      </c>
      <c r="F3" s="29" t="n">
        <v>-1.2</v>
      </c>
      <c r="G3" s="13" t="n">
        <v>-2</v>
      </c>
      <c r="H3" s="13" t="n">
        <v>28.8</v>
      </c>
      <c r="I3" s="13" t="inlineStr">
        <is>
          <t>Retiro cliente</t>
        </is>
      </c>
      <c r="J3" s="13" t="inlineStr">
        <is>
          <t>Sistema</t>
        </is>
      </c>
    </row>
    <row r="4">
      <c r="A4" s="16" t="inlineStr">
        <is>
          <t>17/03</t>
        </is>
      </c>
      <c r="B4" s="16" t="inlineStr">
        <is>
          <t>09:30</t>
        </is>
      </c>
      <c r="C4" s="16" t="inlineStr">
        <is>
          <t>E-02</t>
        </is>
      </c>
      <c r="D4" s="16" t="inlineStr">
        <is>
          <t>Agua Purificada 1L</t>
        </is>
      </c>
      <c r="E4" s="17" t="inlineStr">
        <is>
          <t>ENTRADA</t>
        </is>
      </c>
      <c r="F4" s="30" t="n">
        <v>20</v>
      </c>
      <c r="G4" s="16" t="n">
        <v>20</v>
      </c>
      <c r="H4" s="16" t="n">
        <v>25</v>
      </c>
      <c r="I4" s="16" t="inlineStr">
        <is>
          <t>Surtido proveedor</t>
        </is>
      </c>
      <c r="J4" s="16" t="inlineStr">
        <is>
          <t>Admin</t>
        </is>
      </c>
    </row>
    <row r="5">
      <c r="A5" s="13" t="inlineStr">
        <is>
          <t>17/03</t>
        </is>
      </c>
      <c r="B5" s="13" t="inlineStr">
        <is>
          <t>10:05</t>
        </is>
      </c>
      <c r="C5" s="13" t="inlineStr">
        <is>
          <t>E-03</t>
        </is>
      </c>
      <c r="D5" s="13" t="inlineStr">
        <is>
          <t>Papas Fritas 50g</t>
        </is>
      </c>
      <c r="E5" s="28" t="inlineStr">
        <is>
          <t>SALIDA</t>
        </is>
      </c>
      <c r="F5" s="29" t="n">
        <v>-0.5</v>
      </c>
      <c r="G5" s="13" t="n">
        <v>-10</v>
      </c>
      <c r="H5" s="13" t="n">
        <v>4.5</v>
      </c>
      <c r="I5" s="13" t="inlineStr">
        <is>
          <t>Retiro cliente</t>
        </is>
      </c>
      <c r="J5" s="13" t="inlineStr">
        <is>
          <t>Sistema</t>
        </is>
      </c>
    </row>
    <row r="6">
      <c r="A6" s="16" t="inlineStr">
        <is>
          <t>17/03</t>
        </is>
      </c>
      <c r="B6" s="16" t="inlineStr">
        <is>
          <t>11:42</t>
        </is>
      </c>
      <c r="C6" s="16" t="inlineStr">
        <is>
          <t>E-06</t>
        </is>
      </c>
      <c r="D6" s="16" t="inlineStr">
        <is>
          <t>Galletas Surtidas</t>
        </is>
      </c>
      <c r="E6" s="31" t="inlineStr">
        <is>
          <t>SALIDA</t>
        </is>
      </c>
      <c r="F6" s="32" t="n">
        <v>-0.3</v>
      </c>
      <c r="G6" s="16" t="n">
        <v>-3</v>
      </c>
      <c r="H6" s="16" t="n">
        <v>7.7</v>
      </c>
      <c r="I6" s="16" t="inlineStr">
        <is>
          <t>Retiro cliente</t>
        </is>
      </c>
      <c r="J6" s="16" t="inlineStr">
        <is>
          <t>Sistema</t>
        </is>
      </c>
    </row>
    <row r="7">
      <c r="A7" s="13" t="inlineStr">
        <is>
          <t>17/03</t>
        </is>
      </c>
      <c r="B7" s="13" t="inlineStr">
        <is>
          <t>14:20</t>
        </is>
      </c>
      <c r="C7" s="13" t="inlineStr">
        <is>
          <t>E-01</t>
        </is>
      </c>
      <c r="D7" s="13" t="inlineStr">
        <is>
          <t>Refresco Cola 600ml</t>
        </is>
      </c>
      <c r="E7" s="28" t="inlineStr">
        <is>
          <t>SALIDA</t>
        </is>
      </c>
      <c r="F7" s="29" t="n">
        <v>-3</v>
      </c>
      <c r="G7" s="13" t="n">
        <v>-5</v>
      </c>
      <c r="H7" s="13" t="n">
        <v>25.8</v>
      </c>
      <c r="I7" s="13" t="inlineStr">
        <is>
          <t>Retiro cliente</t>
        </is>
      </c>
      <c r="J7" s="13" t="inlineStr">
        <is>
          <t>Sistema</t>
        </is>
      </c>
    </row>
    <row r="8">
      <c r="A8" s="16" t="inlineStr">
        <is>
          <t>17/03</t>
        </is>
      </c>
      <c r="B8" s="16" t="inlineStr">
        <is>
          <t>16:55</t>
        </is>
      </c>
      <c r="C8" s="16" t="inlineStr">
        <is>
          <t>E-12</t>
        </is>
      </c>
      <c r="D8" s="16" t="inlineStr">
        <is>
          <t>Chicles Menta x10</t>
        </is>
      </c>
      <c r="E8" s="33" t="inlineStr">
        <is>
          <t>ALERTA</t>
        </is>
      </c>
      <c r="F8" s="32" t="n">
        <v>-2</v>
      </c>
      <c r="G8" s="16" t="n">
        <v>-200</v>
      </c>
      <c r="H8" s="16" t="n">
        <v>0.5</v>
      </c>
      <c r="I8" s="16" t="inlineStr">
        <is>
          <t>⚠️ Stock Bajo</t>
        </is>
      </c>
      <c r="J8" s="16" t="inlineStr">
        <is>
          <t>Sistema</t>
        </is>
      </c>
    </row>
    <row r="9">
      <c r="A9" s="13" t="inlineStr">
        <is>
          <t>18/03</t>
        </is>
      </c>
      <c r="B9" s="13" t="inlineStr">
        <is>
          <t>07:00</t>
        </is>
      </c>
      <c r="C9" s="13" t="inlineStr">
        <is>
          <t>E-05</t>
        </is>
      </c>
      <c r="D9" s="13" t="inlineStr">
        <is>
          <t>Leche Entera 1L</t>
        </is>
      </c>
      <c r="E9" s="14" t="inlineStr">
        <is>
          <t>ENTRADA</t>
        </is>
      </c>
      <c r="F9" s="34" t="n">
        <v>12</v>
      </c>
      <c r="G9" s="13" t="n">
        <v>12</v>
      </c>
      <c r="H9" s="13" t="n">
        <v>24</v>
      </c>
      <c r="I9" s="13" t="inlineStr">
        <is>
          <t>Surtido proveedor</t>
        </is>
      </c>
      <c r="J9" s="13" t="inlineStr">
        <is>
          <t>Admin</t>
        </is>
      </c>
    </row>
    <row r="10">
      <c r="A10" s="16" t="inlineStr">
        <is>
          <t>18/03</t>
        </is>
      </c>
      <c r="B10" s="16" t="inlineStr">
        <is>
          <t>09:15</t>
        </is>
      </c>
      <c r="C10" s="16" t="inlineStr">
        <is>
          <t>E-07</t>
        </is>
      </c>
      <c r="D10" s="16" t="inlineStr">
        <is>
          <t>Atún en Lata 140g</t>
        </is>
      </c>
      <c r="E10" s="31" t="inlineStr">
        <is>
          <t>SALIDA</t>
        </is>
      </c>
      <c r="F10" s="32" t="n">
        <v>-0.28</v>
      </c>
      <c r="G10" s="16" t="n">
        <v>-2</v>
      </c>
      <c r="H10" s="16" t="n">
        <v>13.72</v>
      </c>
      <c r="I10" s="16" t="inlineStr">
        <is>
          <t>Retiro cliente</t>
        </is>
      </c>
      <c r="J10" s="16" t="inlineStr">
        <is>
          <t>Sistema</t>
        </is>
      </c>
    </row>
    <row r="11">
      <c r="A11" s="13" t="inlineStr">
        <is>
          <t>18/03</t>
        </is>
      </c>
      <c r="B11" s="13" t="inlineStr">
        <is>
          <t>13:00</t>
        </is>
      </c>
      <c r="C11" s="13" t="inlineStr">
        <is>
          <t>E-09</t>
        </is>
      </c>
      <c r="D11" s="13" t="inlineStr">
        <is>
          <t>Café Soluble 100g</t>
        </is>
      </c>
      <c r="E11" s="28" t="inlineStr">
        <is>
          <t>SALIDA</t>
        </is>
      </c>
      <c r="F11" s="29" t="n">
        <v>-0.2</v>
      </c>
      <c r="G11" s="13" t="n">
        <v>-2</v>
      </c>
      <c r="H11" s="13" t="n">
        <v>9.800000000000001</v>
      </c>
      <c r="I11" s="13" t="inlineStr">
        <is>
          <t>Retiro cliente</t>
        </is>
      </c>
      <c r="J11" s="13" t="inlineStr">
        <is>
          <t>Sistema</t>
        </is>
      </c>
    </row>
    <row r="12">
      <c r="A12" s="16" t="inlineStr">
        <is>
          <t>18/03</t>
        </is>
      </c>
      <c r="B12" s="16" t="inlineStr">
        <is>
          <t>17:30</t>
        </is>
      </c>
      <c r="C12" s="16" t="inlineStr">
        <is>
          <t>E-03</t>
        </is>
      </c>
      <c r="D12" s="16" t="inlineStr">
        <is>
          <t>Papas Fritas 50g</t>
        </is>
      </c>
      <c r="E12" s="19" t="inlineStr">
        <is>
          <t>ANOMALÍA</t>
        </is>
      </c>
      <c r="F12" s="32" t="n">
        <v>-1.5</v>
      </c>
      <c r="G12" s="16" t="n">
        <v>-30</v>
      </c>
      <c r="H12" s="16" t="n">
        <v>3</v>
      </c>
      <c r="I12" s="16" t="inlineStr">
        <is>
          <t>🚨 Posible robo</t>
        </is>
      </c>
      <c r="J12" s="16" t="inlineStr">
        <is>
          <t>Sistema</t>
        </is>
      </c>
    </row>
    <row r="13">
      <c r="A13" s="13" t="inlineStr">
        <is>
          <t>19/03</t>
        </is>
      </c>
      <c r="B13" s="13" t="inlineStr">
        <is>
          <t>08:00</t>
        </is>
      </c>
      <c r="C13" s="13" t="inlineStr">
        <is>
          <t>E-11</t>
        </is>
      </c>
      <c r="D13" s="13" t="inlineStr">
        <is>
          <t>Cereal Avena 500g</t>
        </is>
      </c>
      <c r="E13" s="14" t="inlineStr">
        <is>
          <t>ENTRADA</t>
        </is>
      </c>
      <c r="F13" s="34" t="n">
        <v>5</v>
      </c>
      <c r="G13" s="13" t="n">
        <v>10</v>
      </c>
      <c r="H13" s="13" t="n">
        <v>10</v>
      </c>
      <c r="I13" s="13" t="inlineStr">
        <is>
          <t>Surtido proveedor</t>
        </is>
      </c>
      <c r="J13" s="13" t="inlineStr">
        <is>
          <t>Admin</t>
        </is>
      </c>
    </row>
    <row r="14">
      <c r="A14" s="16" t="inlineStr">
        <is>
          <t>19/03</t>
        </is>
      </c>
      <c r="B14" s="16" t="inlineStr">
        <is>
          <t>10:20</t>
        </is>
      </c>
      <c r="C14" s="16" t="inlineStr">
        <is>
          <t>E-04</t>
        </is>
      </c>
      <c r="D14" s="16" t="inlineStr">
        <is>
          <t>Jugo Naranja 250ml</t>
        </is>
      </c>
      <c r="E14" s="31" t="inlineStr">
        <is>
          <t>SALIDA</t>
        </is>
      </c>
      <c r="F14" s="32" t="n">
        <v>-1</v>
      </c>
      <c r="G14" s="16" t="n">
        <v>-4</v>
      </c>
      <c r="H14" s="16" t="n">
        <v>19</v>
      </c>
      <c r="I14" s="16" t="inlineStr">
        <is>
          <t>Retiro cliente</t>
        </is>
      </c>
      <c r="J14" s="16" t="inlineStr">
        <is>
          <t>Sistema</t>
        </is>
      </c>
    </row>
    <row r="15">
      <c r="A15" s="13" t="inlineStr">
        <is>
          <t>20/03</t>
        </is>
      </c>
      <c r="B15" s="13" t="inlineStr">
        <is>
          <t>09:45</t>
        </is>
      </c>
      <c r="C15" s="13" t="inlineStr">
        <is>
          <t>E-08</t>
        </is>
      </c>
      <c r="D15" s="13" t="inlineStr">
        <is>
          <t>Sabritas Rancheritos</t>
        </is>
      </c>
      <c r="E15" s="20" t="inlineStr">
        <is>
          <t>DISCREPANCIA</t>
        </is>
      </c>
      <c r="F15" s="34" t="n">
        <v>1.5</v>
      </c>
      <c r="G15" s="13" t="n">
        <v>0</v>
      </c>
      <c r="H15" s="13" t="n">
        <v>7.5</v>
      </c>
      <c r="I15" s="13" t="inlineStr">
        <is>
          <t>⚠️ Peso desconocido</t>
        </is>
      </c>
      <c r="J15" s="13" t="inlineStr">
        <is>
          <t>Sistema</t>
        </is>
      </c>
    </row>
    <row r="16">
      <c r="A16" s="16" t="inlineStr">
        <is>
          <t>21/03</t>
        </is>
      </c>
      <c r="B16" s="16" t="inlineStr">
        <is>
          <t>11:00</t>
        </is>
      </c>
      <c r="C16" s="16" t="inlineStr">
        <is>
          <t>E-02</t>
        </is>
      </c>
      <c r="D16" s="16" t="inlineStr">
        <is>
          <t>Agua Purificada 1L</t>
        </is>
      </c>
      <c r="E16" s="31" t="inlineStr">
        <is>
          <t>SALIDA</t>
        </is>
      </c>
      <c r="F16" s="32" t="n">
        <v>-5</v>
      </c>
      <c r="G16" s="16" t="n">
        <v>-5</v>
      </c>
      <c r="H16" s="16" t="n">
        <v>20</v>
      </c>
      <c r="I16" s="16" t="inlineStr">
        <is>
          <t>Retiro cliente</t>
        </is>
      </c>
      <c r="J16" s="16" t="inlineStr">
        <is>
          <t>Sistema</t>
        </is>
      </c>
    </row>
    <row r="17">
      <c r="A17" s="13" t="inlineStr">
        <is>
          <t>22/03</t>
        </is>
      </c>
      <c r="B17" s="13" t="inlineStr">
        <is>
          <t>08:30</t>
        </is>
      </c>
      <c r="C17" s="13" t="inlineStr">
        <is>
          <t>E-06</t>
        </is>
      </c>
      <c r="D17" s="13" t="inlineStr">
        <is>
          <t>Galletas Surtidas</t>
        </is>
      </c>
      <c r="E17" s="14" t="inlineStr">
        <is>
          <t>ENTRADA</t>
        </is>
      </c>
      <c r="F17" s="34" t="n">
        <v>8</v>
      </c>
      <c r="G17" s="13" t="n">
        <v>80</v>
      </c>
      <c r="H17" s="13" t="n">
        <v>8</v>
      </c>
      <c r="I17" s="13" t="inlineStr">
        <is>
          <t>Surtido proveedor</t>
        </is>
      </c>
      <c r="J17" s="13" t="inlineStr">
        <is>
          <t>Gerente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24" customWidth="1" min="4" max="4"/>
    <col width="24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 ht="35" customHeight="1">
      <c r="A1" s="22" t="inlineStr">
        <is>
          <t>RackIQ  –  Reporte de Mermas, Robos y Alertas  |  Semana 17-23 Mar 2025</t>
        </is>
      </c>
    </row>
    <row r="3" ht="18" customHeight="1">
      <c r="A3" s="35" t="inlineStr">
        <is>
          <t>Total Alertas Semana</t>
        </is>
      </c>
      <c r="C3" s="35" t="inlineStr">
        <is>
          <t>Posibles Robos</t>
        </is>
      </c>
      <c r="E3" s="35" t="inlineStr">
        <is>
          <t>Mermas Confirmadas</t>
        </is>
      </c>
      <c r="G3" s="35" t="inlineStr">
        <is>
          <t>Pérdida Estimada</t>
        </is>
      </c>
    </row>
    <row r="4" ht="30" customHeight="1">
      <c r="A4" s="36" t="inlineStr">
        <is>
          <t>12</t>
        </is>
      </c>
      <c r="C4" s="37" t="inlineStr">
        <is>
          <t>3</t>
        </is>
      </c>
      <c r="E4" s="37" t="inlineStr">
        <is>
          <t>23 u</t>
        </is>
      </c>
      <c r="G4" s="37" t="inlineStr">
        <is>
          <t>$890 MXN</t>
        </is>
      </c>
    </row>
    <row r="5" ht="16" customHeight="1"/>
    <row r="7">
      <c r="A7" s="23" t="inlineStr">
        <is>
          <t>Fecha</t>
        </is>
      </c>
      <c r="B7" s="23" t="inlineStr">
        <is>
          <t>Hora</t>
        </is>
      </c>
      <c r="C7" s="23" t="inlineStr">
        <is>
          <t>Estante</t>
        </is>
      </c>
      <c r="D7" s="23" t="inlineStr">
        <is>
          <t>Producto</t>
        </is>
      </c>
      <c r="E7" s="23" t="inlineStr">
        <is>
          <t>Tipo Alerta</t>
        </is>
      </c>
      <c r="F7" s="23" t="inlineStr">
        <is>
          <t>Unidades Δ</t>
        </is>
      </c>
      <c r="G7" s="23" t="inlineStr">
        <is>
          <t>Peso Δ (kg)</t>
        </is>
      </c>
      <c r="H7" s="23" t="inlineStr">
        <is>
          <t>Clasificación</t>
        </is>
      </c>
      <c r="I7" s="23" t="inlineStr">
        <is>
          <t>Acción Tomada</t>
        </is>
      </c>
    </row>
    <row r="8">
      <c r="A8" s="13" t="inlineStr">
        <is>
          <t>17/03</t>
        </is>
      </c>
      <c r="B8" s="13" t="inlineStr">
        <is>
          <t>23:45</t>
        </is>
      </c>
      <c r="C8" s="13" t="inlineStr">
        <is>
          <t>E-01</t>
        </is>
      </c>
      <c r="D8" s="13" t="inlineStr">
        <is>
          <t>Refresco Cola 600ml</t>
        </is>
      </c>
      <c r="E8" s="18" t="inlineStr">
        <is>
          <t>Actividad Fuera Horario</t>
        </is>
      </c>
      <c r="F8" s="13" t="n">
        <v>-3</v>
      </c>
      <c r="G8" s="13" t="n">
        <v>-1.8</v>
      </c>
      <c r="H8" s="20" t="inlineStr">
        <is>
          <t>Posible Robo</t>
        </is>
      </c>
      <c r="I8" s="13" t="inlineStr">
        <is>
          <t>Alerta enviada</t>
        </is>
      </c>
    </row>
    <row r="9">
      <c r="A9" s="16" t="inlineStr">
        <is>
          <t>18/03</t>
        </is>
      </c>
      <c r="B9" s="16" t="inlineStr">
        <is>
          <t>13:00</t>
        </is>
      </c>
      <c r="C9" s="16" t="inlineStr">
        <is>
          <t>E-03</t>
        </is>
      </c>
      <c r="D9" s="16" t="inlineStr">
        <is>
          <t>Papas Fritas 50g</t>
        </is>
      </c>
      <c r="E9" s="21" t="inlineStr">
        <is>
          <t>Tasa Retiro Excesiva</t>
        </is>
      </c>
      <c r="F9" s="16" t="n">
        <v>-30</v>
      </c>
      <c r="G9" s="16" t="n">
        <v>-1.5</v>
      </c>
      <c r="H9" s="19" t="inlineStr">
        <is>
          <t>Confirmado Robo</t>
        </is>
      </c>
      <c r="I9" s="16" t="inlineStr">
        <is>
          <t>Revisión cámara</t>
        </is>
      </c>
    </row>
    <row r="10">
      <c r="A10" s="13" t="inlineStr">
        <is>
          <t>19/03</t>
        </is>
      </c>
      <c r="B10" s="13" t="inlineStr">
        <is>
          <t>02:20</t>
        </is>
      </c>
      <c r="C10" s="13" t="inlineStr">
        <is>
          <t>E-12</t>
        </is>
      </c>
      <c r="D10" s="13" t="inlineStr">
        <is>
          <t>Chicles Menta x10</t>
        </is>
      </c>
      <c r="E10" s="18" t="inlineStr">
        <is>
          <t>Actividad Fuera Horario</t>
        </is>
      </c>
      <c r="F10" s="13" t="n">
        <v>-15</v>
      </c>
      <c r="G10" s="13" t="n">
        <v>-0.15</v>
      </c>
      <c r="H10" s="20" t="inlineStr">
        <is>
          <t>Posible Robo</t>
        </is>
      </c>
      <c r="I10" s="13" t="inlineStr">
        <is>
          <t>Alerta enviada</t>
        </is>
      </c>
    </row>
    <row r="11">
      <c r="A11" s="16" t="inlineStr">
        <is>
          <t>20/03</t>
        </is>
      </c>
      <c r="B11" s="16" t="inlineStr">
        <is>
          <t>10:10</t>
        </is>
      </c>
      <c r="C11" s="16" t="inlineStr">
        <is>
          <t>E-08</t>
        </is>
      </c>
      <c r="D11" s="16" t="inlineStr">
        <is>
          <t>Sabritas Rancheritos</t>
        </is>
      </c>
      <c r="E11" s="21" t="inlineStr">
        <is>
          <t>Peso Desconocido</t>
        </is>
      </c>
      <c r="F11" s="16" t="n">
        <v>0</v>
      </c>
      <c r="G11" s="16" t="n">
        <v>1.5</v>
      </c>
      <c r="H11" s="17" t="inlineStr">
        <is>
          <t>Producto Ajeno</t>
        </is>
      </c>
      <c r="I11" s="16" t="inlineStr">
        <is>
          <t>Empleado revisó</t>
        </is>
      </c>
    </row>
    <row r="12">
      <c r="A12" s="13" t="inlineStr">
        <is>
          <t>21/03</t>
        </is>
      </c>
      <c r="B12" s="13" t="inlineStr">
        <is>
          <t>09:00</t>
        </is>
      </c>
      <c r="C12" s="13" t="inlineStr">
        <is>
          <t>E-06</t>
        </is>
      </c>
      <c r="D12" s="13" t="inlineStr">
        <is>
          <t>Galletas Surtidas 100g</t>
        </is>
      </c>
      <c r="E12" s="18" t="inlineStr">
        <is>
          <t>Merma</t>
        </is>
      </c>
      <c r="F12" s="13" t="n">
        <v>-5</v>
      </c>
      <c r="G12" s="13" t="n">
        <v>-0.5</v>
      </c>
      <c r="H12" s="14" t="inlineStr">
        <is>
          <t>Caducado/Dañado</t>
        </is>
      </c>
      <c r="I12" s="13" t="inlineStr">
        <is>
          <t>Dado de baja</t>
        </is>
      </c>
    </row>
    <row r="13">
      <c r="A13" s="16" t="inlineStr">
        <is>
          <t>22/03</t>
        </is>
      </c>
      <c r="B13" s="16" t="inlineStr">
        <is>
          <t>15:30</t>
        </is>
      </c>
      <c r="C13" s="16" t="inlineStr">
        <is>
          <t>E-02</t>
        </is>
      </c>
      <c r="D13" s="16" t="inlineStr">
        <is>
          <t>Agua Purificada 1L</t>
        </is>
      </c>
      <c r="E13" s="21" t="inlineStr">
        <is>
          <t>Discrepancia Proveedor</t>
        </is>
      </c>
      <c r="F13" s="16" t="n">
        <v>-2</v>
      </c>
      <c r="G13" s="16" t="n">
        <v>-2</v>
      </c>
      <c r="H13" s="17" t="inlineStr">
        <is>
          <t>Error Proveedor</t>
        </is>
      </c>
      <c r="I13" s="16" t="inlineStr">
        <is>
          <t>Nota enviada</t>
        </is>
      </c>
    </row>
    <row r="14">
      <c r="A14" s="13" t="inlineStr">
        <is>
          <t>23/03</t>
        </is>
      </c>
      <c r="B14" s="13" t="inlineStr">
        <is>
          <t>11:20</t>
        </is>
      </c>
      <c r="C14" s="13" t="inlineStr">
        <is>
          <t>E-04</t>
        </is>
      </c>
      <c r="D14" s="13" t="inlineStr">
        <is>
          <t>Jugo Naranja 250ml</t>
        </is>
      </c>
      <c r="E14" s="26" t="inlineStr">
        <is>
          <t>Stock Bajo Automático</t>
        </is>
      </c>
      <c r="F14" s="13" t="n">
        <v>-8</v>
      </c>
      <c r="G14" s="13" t="n">
        <v>-2</v>
      </c>
      <c r="H14" s="14" t="inlineStr">
        <is>
          <t>Stock Bajo</t>
        </is>
      </c>
      <c r="I14" s="13" t="inlineStr">
        <is>
          <t>Pedido generado</t>
        </is>
      </c>
    </row>
  </sheetData>
  <mergeCells count="9">
    <mergeCell ref="A4:B4"/>
    <mergeCell ref="G4:H4"/>
    <mergeCell ref="E4:F4"/>
    <mergeCell ref="A1:I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6" customWidth="1" min="4" max="4"/>
    <col width="16" customWidth="1" min="5" max="5"/>
    <col width="16" customWidth="1" min="6" max="6"/>
    <col width="10" customWidth="1" min="7" max="7"/>
    <col width="14" customWidth="1" min="8" max="8"/>
    <col width="12" customWidth="1" min="9" max="9"/>
    <col width="20" customWidth="1" min="10" max="10"/>
  </cols>
  <sheetData>
    <row r="1" ht="35" customHeight="1">
      <c r="A1" s="22" t="inlineStr">
        <is>
          <t>RackIQ  –  Análisis de Rotación, Estacionalidad y Rentabilidad por Estante</t>
        </is>
      </c>
    </row>
    <row r="2">
      <c r="A2" s="23" t="inlineStr">
        <is>
          <t>Estante</t>
        </is>
      </c>
      <c r="B2" s="23" t="inlineStr">
        <is>
          <t>Producto</t>
        </is>
      </c>
      <c r="C2" s="23" t="inlineStr">
        <is>
          <t>Categoría</t>
        </is>
      </c>
      <c r="D2" s="23" t="inlineStr">
        <is>
          <t>Rotación (días)</t>
        </is>
      </c>
      <c r="E2" s="23" t="inlineStr">
        <is>
          <t>Ventas Sem Actual</t>
        </is>
      </c>
      <c r="F2" s="23" t="inlineStr">
        <is>
          <t>Ventas Sem Ant</t>
        </is>
      </c>
      <c r="G2" s="23" t="inlineStr">
        <is>
          <t>Var %</t>
        </is>
      </c>
      <c r="H2" s="23" t="inlineStr">
        <is>
          <t>Costo Unit ($)</t>
        </is>
      </c>
      <c r="I2" s="23" t="inlineStr">
        <is>
          <t>Margen (%)</t>
        </is>
      </c>
      <c r="J2" s="23" t="inlineStr">
        <is>
          <t>Zona Rentabilidad</t>
        </is>
      </c>
    </row>
    <row r="3">
      <c r="A3" s="13" t="inlineStr">
        <is>
          <t>E-01</t>
        </is>
      </c>
      <c r="B3" s="13" t="inlineStr">
        <is>
          <t>Refresco Cola 600ml</t>
        </is>
      </c>
      <c r="C3" s="13" t="inlineStr">
        <is>
          <t>Bebidas</t>
        </is>
      </c>
      <c r="D3" s="13" t="n">
        <v>2.1</v>
      </c>
      <c r="E3" s="13" t="n">
        <v>312</v>
      </c>
      <c r="F3" s="13" t="n">
        <v>278</v>
      </c>
      <c r="G3" s="24">
        <f>IF(F3=0,"-",(E3-F3)/F3)</f>
        <v/>
      </c>
      <c r="H3" s="13" t="n">
        <v>8.5</v>
      </c>
      <c r="I3" s="38" t="n">
        <v>0.35</v>
      </c>
      <c r="J3" s="14" t="inlineStr">
        <is>
          <t>🔥 Zona Caliente</t>
        </is>
      </c>
    </row>
    <row r="4">
      <c r="A4" s="16" t="inlineStr">
        <is>
          <t>E-02</t>
        </is>
      </c>
      <c r="B4" s="16" t="inlineStr">
        <is>
          <t>Agua Purificada 1L</t>
        </is>
      </c>
      <c r="C4" s="16" t="inlineStr">
        <is>
          <t>Bebidas</t>
        </is>
      </c>
      <c r="D4" s="16" t="n">
        <v>1.8</v>
      </c>
      <c r="E4" s="16" t="n">
        <v>289</v>
      </c>
      <c r="F4" s="16" t="n">
        <v>301</v>
      </c>
      <c r="G4" s="25">
        <f>IF(F4=0,"-",(E4-F4)/F4)</f>
        <v/>
      </c>
      <c r="H4" s="16" t="n">
        <v>5</v>
      </c>
      <c r="I4" s="39" t="n">
        <v>0.28</v>
      </c>
      <c r="J4" s="17" t="inlineStr">
        <is>
          <t>🔥 Zona Caliente</t>
        </is>
      </c>
    </row>
    <row r="5">
      <c r="A5" s="13" t="inlineStr">
        <is>
          <t>E-03</t>
        </is>
      </c>
      <c r="B5" s="13" t="inlineStr">
        <is>
          <t>Papas Fritas 50g</t>
        </is>
      </c>
      <c r="C5" s="13" t="inlineStr">
        <is>
          <t>Botanas</t>
        </is>
      </c>
      <c r="D5" s="13" t="n">
        <v>3.5</v>
      </c>
      <c r="E5" s="13" t="n">
        <v>178</v>
      </c>
      <c r="F5" s="13" t="n">
        <v>165</v>
      </c>
      <c r="G5" s="24">
        <f>IF(F5=0,"-",(E5-F5)/F5)</f>
        <v/>
      </c>
      <c r="H5" s="13" t="n">
        <v>9.5</v>
      </c>
      <c r="I5" s="38" t="n">
        <v>0.42</v>
      </c>
      <c r="J5" s="14" t="inlineStr">
        <is>
          <t>🔥 Zona Caliente</t>
        </is>
      </c>
    </row>
    <row r="6">
      <c r="A6" s="16" t="inlineStr">
        <is>
          <t>E-04</t>
        </is>
      </c>
      <c r="B6" s="16" t="inlineStr">
        <is>
          <t>Jugo Naranja 250ml</t>
        </is>
      </c>
      <c r="C6" s="16" t="inlineStr">
        <is>
          <t>Bebidas</t>
        </is>
      </c>
      <c r="D6" s="16" t="n">
        <v>4.2</v>
      </c>
      <c r="E6" s="16" t="n">
        <v>143</v>
      </c>
      <c r="F6" s="16" t="n">
        <v>158</v>
      </c>
      <c r="G6" s="25">
        <f>IF(F6=0,"-",(E6-F6)/F6)</f>
        <v/>
      </c>
      <c r="H6" s="16" t="n">
        <v>12</v>
      </c>
      <c r="I6" s="39" t="n">
        <v>0.31</v>
      </c>
      <c r="J6" s="21" t="inlineStr">
        <is>
          <t>✅ Activo</t>
        </is>
      </c>
    </row>
    <row r="7">
      <c r="A7" s="13" t="inlineStr">
        <is>
          <t>E-05</t>
        </is>
      </c>
      <c r="B7" s="13" t="inlineStr">
        <is>
          <t>Leche Entera 1L</t>
        </is>
      </c>
      <c r="C7" s="13" t="inlineStr">
        <is>
          <t>Lácteos</t>
        </is>
      </c>
      <c r="D7" s="13" t="n">
        <v>3.9</v>
      </c>
      <c r="E7" s="13" t="n">
        <v>112</v>
      </c>
      <c r="F7" s="13" t="n">
        <v>108</v>
      </c>
      <c r="G7" s="24">
        <f>IF(F7=0,"-",(E7-F7)/F7)</f>
        <v/>
      </c>
      <c r="H7" s="13" t="n">
        <v>18</v>
      </c>
      <c r="I7" s="38" t="n">
        <v>0.22</v>
      </c>
      <c r="J7" s="18" t="inlineStr">
        <is>
          <t>✅ Activo</t>
        </is>
      </c>
    </row>
    <row r="8">
      <c r="A8" s="16" t="inlineStr">
        <is>
          <t>E-06</t>
        </is>
      </c>
      <c r="B8" s="16" t="inlineStr">
        <is>
          <t>Galletas Surtidas 100g</t>
        </is>
      </c>
      <c r="C8" s="16" t="inlineStr">
        <is>
          <t>Botanas</t>
        </is>
      </c>
      <c r="D8" s="16" t="n">
        <v>5.1</v>
      </c>
      <c r="E8" s="16" t="n">
        <v>87</v>
      </c>
      <c r="F8" s="16" t="n">
        <v>90</v>
      </c>
      <c r="G8" s="25">
        <f>IF(F8=0,"-",(E8-F8)/F8)</f>
        <v/>
      </c>
      <c r="H8" s="16" t="n">
        <v>11</v>
      </c>
      <c r="I8" s="39" t="n">
        <v>0.38</v>
      </c>
      <c r="J8" s="21" t="inlineStr">
        <is>
          <t>✅ Activo</t>
        </is>
      </c>
    </row>
    <row r="9">
      <c r="A9" s="13" t="inlineStr">
        <is>
          <t>E-07</t>
        </is>
      </c>
      <c r="B9" s="13" t="inlineStr">
        <is>
          <t>Atún en Lata 140g</t>
        </is>
      </c>
      <c r="C9" s="13" t="inlineStr">
        <is>
          <t>Enlatados</t>
        </is>
      </c>
      <c r="D9" s="13" t="n">
        <v>6.3</v>
      </c>
      <c r="E9" s="13" t="n">
        <v>56</v>
      </c>
      <c r="F9" s="13" t="n">
        <v>61</v>
      </c>
      <c r="G9" s="24">
        <f>IF(F9=0,"-",(E9-F9)/F9)</f>
        <v/>
      </c>
      <c r="H9" s="13" t="n">
        <v>14.5</v>
      </c>
      <c r="I9" s="38" t="n">
        <v>0.29</v>
      </c>
      <c r="J9" s="26" t="inlineStr">
        <is>
          <t>⚠️ Lento</t>
        </is>
      </c>
    </row>
    <row r="10">
      <c r="A10" s="16" t="inlineStr">
        <is>
          <t>E-08</t>
        </is>
      </c>
      <c r="B10" s="16" t="inlineStr">
        <is>
          <t>Sabritas Rancheritos 45g</t>
        </is>
      </c>
      <c r="C10" s="16" t="inlineStr">
        <is>
          <t>Botanas</t>
        </is>
      </c>
      <c r="D10" s="16" t="n">
        <v>4.8</v>
      </c>
      <c r="E10" s="16" t="n">
        <v>34</v>
      </c>
      <c r="F10" s="16" t="n">
        <v>38</v>
      </c>
      <c r="G10" s="25">
        <f>IF(F10=0,"-",(E10-F10)/F10)</f>
        <v/>
      </c>
      <c r="H10" s="16" t="n">
        <v>9</v>
      </c>
      <c r="I10" s="39" t="n">
        <v>0.44</v>
      </c>
      <c r="J10" s="21" t="inlineStr">
        <is>
          <t>✅ Activo</t>
        </is>
      </c>
    </row>
    <row r="11">
      <c r="A11" s="13" t="inlineStr">
        <is>
          <t>E-09</t>
        </is>
      </c>
      <c r="B11" s="13" t="inlineStr">
        <is>
          <t>Café Soluble 100g</t>
        </is>
      </c>
      <c r="C11" s="13" t="inlineStr">
        <is>
          <t>Abarrotes</t>
        </is>
      </c>
      <c r="D11" s="13" t="n">
        <v>7.5</v>
      </c>
      <c r="E11" s="13" t="n">
        <v>23</v>
      </c>
      <c r="F11" s="13" t="n">
        <v>19</v>
      </c>
      <c r="G11" s="24">
        <f>IF(F11=0,"-",(E11-F11)/F11)</f>
        <v/>
      </c>
      <c r="H11" s="13" t="n">
        <v>22</v>
      </c>
      <c r="I11" s="38" t="n">
        <v>0.48</v>
      </c>
      <c r="J11" s="26" t="inlineStr">
        <is>
          <t>⚠️ Lento</t>
        </is>
      </c>
    </row>
    <row r="12">
      <c r="A12" s="16" t="inlineStr">
        <is>
          <t>E-10</t>
        </is>
      </c>
      <c r="B12" s="16" t="inlineStr">
        <is>
          <t>Jugo Manzana 500ml</t>
        </is>
      </c>
      <c r="C12" s="16" t="inlineStr">
        <is>
          <t>Bebidas</t>
        </is>
      </c>
      <c r="D12" s="16" t="n">
        <v>9.1</v>
      </c>
      <c r="E12" s="16" t="n">
        <v>14</v>
      </c>
      <c r="F12" s="16" t="n">
        <v>17</v>
      </c>
      <c r="G12" s="25">
        <f>IF(F12=0,"-",(E12-F12)/F12)</f>
        <v/>
      </c>
      <c r="H12" s="16" t="n">
        <v>13</v>
      </c>
      <c r="I12" s="39" t="n">
        <v>0.3</v>
      </c>
      <c r="J12" s="19" t="inlineStr">
        <is>
          <t>🧊 Zona Muerta</t>
        </is>
      </c>
    </row>
    <row r="13">
      <c r="A13" s="13" t="inlineStr">
        <is>
          <t>E-11</t>
        </is>
      </c>
      <c r="B13" s="13" t="inlineStr">
        <is>
          <t>Cereal Avena 500g</t>
        </is>
      </c>
      <c r="C13" s="13" t="inlineStr">
        <is>
          <t>Abarrotes</t>
        </is>
      </c>
      <c r="D13" s="13" t="n">
        <v>8.199999999999999</v>
      </c>
      <c r="E13" s="13" t="n">
        <v>14</v>
      </c>
      <c r="F13" s="13" t="n">
        <v>12</v>
      </c>
      <c r="G13" s="24">
        <f>IF(F13=0,"-",(E13-F13)/F13)</f>
        <v/>
      </c>
      <c r="H13" s="13" t="n">
        <v>28</v>
      </c>
      <c r="I13" s="38" t="n">
        <v>0.35</v>
      </c>
      <c r="J13" s="20" t="inlineStr">
        <is>
          <t>🧊 Zona Muerta</t>
        </is>
      </c>
    </row>
    <row r="14">
      <c r="A14" s="16" t="inlineStr">
        <is>
          <t>E-12</t>
        </is>
      </c>
      <c r="B14" s="16" t="inlineStr">
        <is>
          <t>Chicles Menta x10</t>
        </is>
      </c>
      <c r="C14" s="16" t="inlineStr">
        <is>
          <t>Dulces</t>
        </is>
      </c>
      <c r="D14" s="16" t="n">
        <v>6.8</v>
      </c>
      <c r="E14" s="16" t="n">
        <v>34</v>
      </c>
      <c r="F14" s="16" t="n">
        <v>40</v>
      </c>
      <c r="G14" s="25">
        <f>IF(F14=0,"-",(E14-F14)/F14)</f>
        <v/>
      </c>
      <c r="H14" s="16" t="n">
        <v>7</v>
      </c>
      <c r="I14" s="39" t="n">
        <v>0.55</v>
      </c>
      <c r="J14" s="33" t="inlineStr">
        <is>
          <t>⚠️ Lento</t>
        </is>
      </c>
    </row>
    <row r="17">
      <c r="A17" t="inlineStr">
        <is>
          <t>Producto</t>
        </is>
      </c>
      <c r="B17" t="inlineStr">
        <is>
          <t>Semana Actual</t>
        </is>
      </c>
      <c r="C17" t="inlineStr">
        <is>
          <t>Semana Anterior</t>
        </is>
      </c>
    </row>
    <row r="18">
      <c r="A18" t="inlineStr">
        <is>
          <t>Refresco Cola 600m</t>
        </is>
      </c>
      <c r="B18" t="n">
        <v>312</v>
      </c>
      <c r="C18" t="n">
        <v>278</v>
      </c>
    </row>
    <row r="19">
      <c r="A19" t="inlineStr">
        <is>
          <t>Agua Purificada 1L</t>
        </is>
      </c>
      <c r="B19" t="n">
        <v>289</v>
      </c>
      <c r="C19" t="n">
        <v>301</v>
      </c>
    </row>
    <row r="20">
      <c r="A20" t="inlineStr">
        <is>
          <t>Papas Fritas 50g</t>
        </is>
      </c>
      <c r="B20" t="n">
        <v>178</v>
      </c>
      <c r="C20" t="n">
        <v>165</v>
      </c>
    </row>
    <row r="21">
      <c r="A21" t="inlineStr">
        <is>
          <t>Jugo Naranja 250ml</t>
        </is>
      </c>
      <c r="B21" t="n">
        <v>143</v>
      </c>
      <c r="C21" t="n">
        <v>158</v>
      </c>
    </row>
    <row r="22">
      <c r="A22" t="inlineStr">
        <is>
          <t>Leche Entera 1L</t>
        </is>
      </c>
      <c r="B22" t="n">
        <v>112</v>
      </c>
      <c r="C22" t="n">
        <v>108</v>
      </c>
    </row>
    <row r="23">
      <c r="A23" t="inlineStr">
        <is>
          <t xml:space="preserve">Galletas Surtidas </t>
        </is>
      </c>
      <c r="B23" t="n">
        <v>87</v>
      </c>
      <c r="C23" t="n">
        <v>90</v>
      </c>
    </row>
    <row r="24">
      <c r="A24" t="inlineStr">
        <is>
          <t>Atún en Lata 140g</t>
        </is>
      </c>
      <c r="B24" t="n">
        <v>56</v>
      </c>
      <c r="C24" t="n">
        <v>61</v>
      </c>
    </row>
    <row r="25">
      <c r="A25" t="inlineStr">
        <is>
          <t>Sabritas Rancherit</t>
        </is>
      </c>
      <c r="B25" t="n">
        <v>34</v>
      </c>
      <c r="C25" t="n">
        <v>38</v>
      </c>
    </row>
    <row r="26">
      <c r="A26" t="inlineStr">
        <is>
          <t>Café Soluble 100g</t>
        </is>
      </c>
      <c r="B26" t="n">
        <v>23</v>
      </c>
      <c r="C26" t="n">
        <v>19</v>
      </c>
    </row>
    <row r="27">
      <c r="A27" t="inlineStr">
        <is>
          <t>Jugo Manzana 500ml</t>
        </is>
      </c>
      <c r="B27" t="n">
        <v>14</v>
      </c>
      <c r="C27" t="n">
        <v>17</v>
      </c>
    </row>
    <row r="28">
      <c r="A28" t="inlineStr">
        <is>
          <t>Cereal Avena 500g</t>
        </is>
      </c>
      <c r="B28" t="n">
        <v>14</v>
      </c>
      <c r="C28" t="n">
        <v>12</v>
      </c>
    </row>
    <row r="29">
      <c r="A29" t="inlineStr">
        <is>
          <t>Chicles Menta x10</t>
        </is>
      </c>
      <c r="B29" t="n">
        <v>34</v>
      </c>
      <c r="C29" t="n">
        <v>40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26" customWidth="1" min="4" max="4"/>
    <col width="16" customWidth="1" min="5" max="5"/>
    <col width="20" customWidth="1" min="6" max="6"/>
    <col width="16" customWidth="1" min="7" max="7"/>
    <col width="16" customWidth="1" min="8" max="8"/>
    <col width="20" customWidth="1" min="9" max="9"/>
    <col width="18" customWidth="1" min="10" max="10"/>
  </cols>
  <sheetData>
    <row r="1" ht="35" customHeight="1">
      <c r="A1" s="22" t="inlineStr">
        <is>
          <t>RackIQ  –  Auditoría de Surtido y Control de Proveedores  |  Marzo 2025</t>
        </is>
      </c>
    </row>
    <row r="2">
      <c r="A2" s="23" t="inlineStr">
        <is>
          <t>Fecha</t>
        </is>
      </c>
      <c r="B2" s="23" t="inlineStr">
        <is>
          <t>Proveedor</t>
        </is>
      </c>
      <c r="C2" s="23" t="inlineStr">
        <is>
          <t>Estante</t>
        </is>
      </c>
      <c r="D2" s="23" t="inlineStr">
        <is>
          <t>Producto</t>
        </is>
      </c>
      <c r="E2" s="23" t="inlineStr">
        <is>
          <t>Kg Facturados</t>
        </is>
      </c>
      <c r="F2" s="23" t="inlineStr">
        <is>
          <t>Kg Detectados (Sensor)</t>
        </is>
      </c>
      <c r="G2" s="23" t="inlineStr">
        <is>
          <t>Diferencia (kg)</t>
        </is>
      </c>
      <c r="H2" s="23" t="inlineStr">
        <is>
          <t>% Discrepancia</t>
        </is>
      </c>
      <c r="I2" s="23" t="inlineStr">
        <is>
          <t>Monto Discrepancia ($)</t>
        </is>
      </c>
      <c r="J2" s="23" t="inlineStr">
        <is>
          <t>Estado</t>
        </is>
      </c>
    </row>
    <row r="3">
      <c r="A3" s="13" t="inlineStr">
        <is>
          <t>03/03</t>
        </is>
      </c>
      <c r="B3" s="13" t="inlineStr">
        <is>
          <t>Dist. Bepensa</t>
        </is>
      </c>
      <c r="C3" s="13" t="inlineStr">
        <is>
          <t>E-01</t>
        </is>
      </c>
      <c r="D3" s="13" t="inlineStr">
        <is>
          <t>Refresco Cola 600ml</t>
        </is>
      </c>
      <c r="E3" s="13" t="n">
        <v>30</v>
      </c>
      <c r="F3" s="13" t="n">
        <v>30</v>
      </c>
      <c r="G3" s="40">
        <f>F3-E3</f>
        <v/>
      </c>
      <c r="H3" s="24">
        <f>IF(E3=0,"-",G3/E3)</f>
        <v/>
      </c>
      <c r="I3" s="41">
        <f>G3*28.0</f>
        <v/>
      </c>
      <c r="J3" s="14" t="inlineStr">
        <is>
          <t>✅ Correcto</t>
        </is>
      </c>
    </row>
    <row r="4">
      <c r="A4" s="16" t="inlineStr">
        <is>
          <t>05/03</t>
        </is>
      </c>
      <c r="B4" s="16" t="inlineStr">
        <is>
          <t>Bonafont</t>
        </is>
      </c>
      <c r="C4" s="16" t="inlineStr">
        <is>
          <t>E-02</t>
        </is>
      </c>
      <c r="D4" s="16" t="inlineStr">
        <is>
          <t>Agua Purificada 1L</t>
        </is>
      </c>
      <c r="E4" s="16" t="n">
        <v>25</v>
      </c>
      <c r="F4" s="16" t="n">
        <v>24</v>
      </c>
      <c r="G4" s="42">
        <f>F4-E4</f>
        <v/>
      </c>
      <c r="H4" s="25">
        <f>IF(E4=0,"-",G4/E4)</f>
        <v/>
      </c>
      <c r="I4" s="43">
        <f>G4*10.0</f>
        <v/>
      </c>
      <c r="J4" s="33" t="inlineStr">
        <is>
          <t>⚠️ Discrepancia</t>
        </is>
      </c>
    </row>
    <row r="5">
      <c r="A5" s="13" t="inlineStr">
        <is>
          <t>07/03</t>
        </is>
      </c>
      <c r="B5" s="13" t="inlineStr">
        <is>
          <t>Sabritas S.A.</t>
        </is>
      </c>
      <c r="C5" s="13" t="inlineStr">
        <is>
          <t>E-03</t>
        </is>
      </c>
      <c r="D5" s="13" t="inlineStr">
        <is>
          <t>Papas Fritas 50g</t>
        </is>
      </c>
      <c r="E5" s="13" t="n">
        <v>5</v>
      </c>
      <c r="F5" s="13" t="n">
        <v>5</v>
      </c>
      <c r="G5" s="40">
        <f>F5-E5</f>
        <v/>
      </c>
      <c r="H5" s="24">
        <f>IF(E5=0,"-",G5/E5)</f>
        <v/>
      </c>
      <c r="I5" s="41">
        <f>G5*95.0</f>
        <v/>
      </c>
      <c r="J5" s="14" t="inlineStr">
        <is>
          <t>✅ Correcto</t>
        </is>
      </c>
    </row>
    <row r="6">
      <c r="A6" s="16" t="inlineStr">
        <is>
          <t>10/03</t>
        </is>
      </c>
      <c r="B6" s="16" t="inlineStr">
        <is>
          <t>Lala Lácteos</t>
        </is>
      </c>
      <c r="C6" s="16" t="inlineStr">
        <is>
          <t>E-05</t>
        </is>
      </c>
      <c r="D6" s="16" t="inlineStr">
        <is>
          <t>Leche Entera 1L</t>
        </is>
      </c>
      <c r="E6" s="16" t="n">
        <v>24</v>
      </c>
      <c r="F6" s="16" t="n">
        <v>23.5</v>
      </c>
      <c r="G6" s="42">
        <f>F6-E6</f>
        <v/>
      </c>
      <c r="H6" s="25">
        <f>IF(E6=0,"-",G6/E6)</f>
        <v/>
      </c>
      <c r="I6" s="43">
        <f>G6*18.0</f>
        <v/>
      </c>
      <c r="J6" s="33" t="inlineStr">
        <is>
          <t>⚠️ Discrepancia</t>
        </is>
      </c>
    </row>
    <row r="7">
      <c r="A7" s="13" t="inlineStr">
        <is>
          <t>12/03</t>
        </is>
      </c>
      <c r="B7" s="13" t="inlineStr">
        <is>
          <t>Gamesa</t>
        </is>
      </c>
      <c r="C7" s="13" t="inlineStr">
        <is>
          <t>E-06</t>
        </is>
      </c>
      <c r="D7" s="13" t="inlineStr">
        <is>
          <t>Galletas Surtidas</t>
        </is>
      </c>
      <c r="E7" s="13" t="n">
        <v>8</v>
      </c>
      <c r="F7" s="13" t="n">
        <v>8</v>
      </c>
      <c r="G7" s="40">
        <f>F7-E7</f>
        <v/>
      </c>
      <c r="H7" s="24">
        <f>IF(E7=0,"-",G7/E7)</f>
        <v/>
      </c>
      <c r="I7" s="41">
        <f>G7*55.0</f>
        <v/>
      </c>
      <c r="J7" s="14" t="inlineStr">
        <is>
          <t>✅ Correcto</t>
        </is>
      </c>
    </row>
    <row r="8">
      <c r="A8" s="16" t="inlineStr">
        <is>
          <t>15/03</t>
        </is>
      </c>
      <c r="B8" s="16" t="inlineStr">
        <is>
          <t>Dist. Bepensa</t>
        </is>
      </c>
      <c r="C8" s="16" t="inlineStr">
        <is>
          <t>E-04</t>
        </is>
      </c>
      <c r="D8" s="16" t="inlineStr">
        <is>
          <t>Jugo Naranja 250ml</t>
        </is>
      </c>
      <c r="E8" s="16" t="n">
        <v>20</v>
      </c>
      <c r="F8" s="16" t="n">
        <v>20</v>
      </c>
      <c r="G8" s="42">
        <f>F8-E8</f>
        <v/>
      </c>
      <c r="H8" s="25">
        <f>IF(E8=0,"-",G8/E8)</f>
        <v/>
      </c>
      <c r="I8" s="43">
        <f>G8*48.0</f>
        <v/>
      </c>
      <c r="J8" s="17" t="inlineStr">
        <is>
          <t>✅ Correcto</t>
        </is>
      </c>
    </row>
    <row r="9">
      <c r="A9" s="13" t="inlineStr">
        <is>
          <t>18/03</t>
        </is>
      </c>
      <c r="B9" s="13" t="inlineStr">
        <is>
          <t>Sabritas S.A.</t>
        </is>
      </c>
      <c r="C9" s="13" t="inlineStr">
        <is>
          <t>E-08</t>
        </is>
      </c>
      <c r="D9" s="13" t="inlineStr">
        <is>
          <t>Sabritas Rancheritos</t>
        </is>
      </c>
      <c r="E9" s="13" t="n">
        <v>9</v>
      </c>
      <c r="F9" s="13" t="n">
        <v>9</v>
      </c>
      <c r="G9" s="40">
        <f>F9-E9</f>
        <v/>
      </c>
      <c r="H9" s="24">
        <f>IF(E9=0,"-",G9/E9)</f>
        <v/>
      </c>
      <c r="I9" s="41">
        <f>G9*90.0</f>
        <v/>
      </c>
      <c r="J9" s="14" t="inlineStr">
        <is>
          <t>✅ Correcto</t>
        </is>
      </c>
    </row>
    <row r="10">
      <c r="A10" s="16" t="inlineStr">
        <is>
          <t>20/03</t>
        </is>
      </c>
      <c r="B10" s="16" t="inlineStr">
        <is>
          <t>Bonafont</t>
        </is>
      </c>
      <c r="C10" s="16" t="inlineStr">
        <is>
          <t>E-02</t>
        </is>
      </c>
      <c r="D10" s="16" t="inlineStr">
        <is>
          <t>Agua Purificada 1L</t>
        </is>
      </c>
      <c r="E10" s="16" t="n">
        <v>25</v>
      </c>
      <c r="F10" s="16" t="n">
        <v>25</v>
      </c>
      <c r="G10" s="42">
        <f>F10-E10</f>
        <v/>
      </c>
      <c r="H10" s="25">
        <f>IF(E10=0,"-",G10/E10)</f>
        <v/>
      </c>
      <c r="I10" s="43">
        <f>G10*10.0</f>
        <v/>
      </c>
      <c r="J10" s="17" t="inlineStr">
        <is>
          <t>✅ Correcto</t>
        </is>
      </c>
    </row>
    <row r="11">
      <c r="A11" s="13" t="inlineStr">
        <is>
          <t>22/03</t>
        </is>
      </c>
      <c r="B11" s="13" t="inlineStr">
        <is>
          <t>Café Moctezuma</t>
        </is>
      </c>
      <c r="C11" s="13" t="inlineStr">
        <is>
          <t>E-09</t>
        </is>
      </c>
      <c r="D11" s="13" t="inlineStr">
        <is>
          <t>Café Soluble 100g</t>
        </is>
      </c>
      <c r="E11" s="13" t="n">
        <v>10</v>
      </c>
      <c r="F11" s="13" t="n">
        <v>8.5</v>
      </c>
      <c r="G11" s="40">
        <f>F11-E11</f>
        <v/>
      </c>
      <c r="H11" s="24">
        <f>IF(E11=0,"-",G11/E11)</f>
        <v/>
      </c>
      <c r="I11" s="41">
        <f>G11*110.0</f>
        <v/>
      </c>
      <c r="J11" s="26" t="inlineStr">
        <is>
          <t>⚠️ Discrepancia</t>
        </is>
      </c>
    </row>
    <row r="12">
      <c r="A12" s="16" t="inlineStr">
        <is>
          <t>23/03</t>
        </is>
      </c>
      <c r="B12" s="16" t="inlineStr">
        <is>
          <t>Dist. Bepensa</t>
        </is>
      </c>
      <c r="C12" s="16" t="inlineStr">
        <is>
          <t>E-10</t>
        </is>
      </c>
      <c r="D12" s="16" t="inlineStr">
        <is>
          <t>Jugo Manzana 500ml</t>
        </is>
      </c>
      <c r="E12" s="16" t="n">
        <v>15</v>
      </c>
      <c r="F12" s="16" t="n">
        <v>15</v>
      </c>
      <c r="G12" s="42">
        <f>F12-E12</f>
        <v/>
      </c>
      <c r="H12" s="25">
        <f>IF(E12=0,"-",G12/E12)</f>
        <v/>
      </c>
      <c r="I12" s="43">
        <f>G12*26.0</f>
        <v/>
      </c>
      <c r="J12" s="17" t="inlineStr">
        <is>
          <t>✅ Correcto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4" customWidth="1" min="3" max="3"/>
    <col width="36" customWidth="1" min="4" max="4"/>
    <col width="16" customWidth="1" min="5" max="5"/>
    <col width="16" customWidth="1" min="6" max="6"/>
    <col width="12" customWidth="1" min="7" max="7"/>
    <col width="22" customWidth="1" min="8" max="8"/>
  </cols>
  <sheetData>
    <row r="1" ht="35" customHeight="1">
      <c r="A1" s="22" t="inlineStr">
        <is>
          <t>RackIQ  –  Línea de Tiempo de Retiros (Auditoría para Cámaras de Seguridad)  |  18/03/2025</t>
        </is>
      </c>
    </row>
    <row r="2">
      <c r="A2" s="23" t="inlineStr">
        <is>
          <t>Timestamp Exacto</t>
        </is>
      </c>
      <c r="B2" s="23" t="inlineStr">
        <is>
          <t>Estante</t>
        </is>
      </c>
      <c r="C2" s="23" t="inlineStr">
        <is>
          <t>Producto</t>
        </is>
      </c>
      <c r="D2" s="23" t="inlineStr">
        <is>
          <t>Evento</t>
        </is>
      </c>
      <c r="E2" s="23" t="inlineStr">
        <is>
          <t>Peso Antes (kg)</t>
        </is>
      </c>
      <c r="F2" s="23" t="inlineStr">
        <is>
          <t>Peso Después (kg)</t>
        </is>
      </c>
      <c r="G2" s="23" t="inlineStr">
        <is>
          <t>Δ Unidades</t>
        </is>
      </c>
      <c r="H2" s="23" t="inlineStr">
        <is>
          <t>Flag</t>
        </is>
      </c>
    </row>
    <row r="3">
      <c r="A3" s="13" t="inlineStr">
        <is>
          <t>18/03/2025 06:30:12</t>
        </is>
      </c>
      <c r="B3" s="13" t="inlineStr">
        <is>
          <t>E-03</t>
        </is>
      </c>
      <c r="C3" s="13" t="inlineStr">
        <is>
          <t>Papas Fritas 50g</t>
        </is>
      </c>
      <c r="D3" s="13" t="inlineStr">
        <is>
          <t>Apertura tienda – peso base</t>
        </is>
      </c>
      <c r="E3" s="13" t="n">
        <v>4.5</v>
      </c>
      <c r="F3" s="13" t="n">
        <v>4.5</v>
      </c>
      <c r="G3" s="13" t="n">
        <v>0</v>
      </c>
      <c r="H3" s="13" t="inlineStr"/>
    </row>
    <row r="4">
      <c r="A4" s="16" t="inlineStr">
        <is>
          <t>18/03/2025 08:02:45</t>
        </is>
      </c>
      <c r="B4" s="16" t="inlineStr">
        <is>
          <t>E-03</t>
        </is>
      </c>
      <c r="C4" s="16" t="inlineStr">
        <is>
          <t>Papas Fritas 50g</t>
        </is>
      </c>
      <c r="D4" s="16" t="inlineStr">
        <is>
          <t>Retiro cliente</t>
        </is>
      </c>
      <c r="E4" s="16" t="n">
        <v>4.5</v>
      </c>
      <c r="F4" s="16" t="n">
        <v>4.4</v>
      </c>
      <c r="G4" s="16" t="n">
        <v>-2</v>
      </c>
      <c r="H4" s="16" t="inlineStr"/>
    </row>
    <row r="5">
      <c r="A5" s="13" t="inlineStr">
        <is>
          <t>18/03/2025 08:41:03</t>
        </is>
      </c>
      <c r="B5" s="13" t="inlineStr">
        <is>
          <t>E-03</t>
        </is>
      </c>
      <c r="C5" s="13" t="inlineStr">
        <is>
          <t>Papas Fritas 50g</t>
        </is>
      </c>
      <c r="D5" s="13" t="inlineStr">
        <is>
          <t>Retiro cliente</t>
        </is>
      </c>
      <c r="E5" s="13" t="n">
        <v>4.4</v>
      </c>
      <c r="F5" s="13" t="n">
        <v>4.3</v>
      </c>
      <c r="G5" s="13" t="n">
        <v>-2</v>
      </c>
      <c r="H5" s="13" t="inlineStr"/>
    </row>
    <row r="6">
      <c r="A6" s="16" t="inlineStr">
        <is>
          <t>18/03/2025 09:15:22</t>
        </is>
      </c>
      <c r="B6" s="16" t="inlineStr">
        <is>
          <t>E-03</t>
        </is>
      </c>
      <c r="C6" s="16" t="inlineStr">
        <is>
          <t>Papas Fritas 50g</t>
        </is>
      </c>
      <c r="D6" s="16" t="inlineStr">
        <is>
          <t>Retiro cliente</t>
        </is>
      </c>
      <c r="E6" s="16" t="n">
        <v>4.3</v>
      </c>
      <c r="F6" s="16" t="n">
        <v>4.2</v>
      </c>
      <c r="G6" s="16" t="n">
        <v>-2</v>
      </c>
      <c r="H6" s="16" t="inlineStr"/>
    </row>
    <row r="7">
      <c r="A7" s="13" t="inlineStr">
        <is>
          <t>18/03/2025 10:55:38</t>
        </is>
      </c>
      <c r="B7" s="13" t="inlineStr">
        <is>
          <t>E-03</t>
        </is>
      </c>
      <c r="C7" s="13" t="inlineStr">
        <is>
          <t>Papas Fritas 50g</t>
        </is>
      </c>
      <c r="D7" s="13" t="inlineStr">
        <is>
          <t>Retiro cliente</t>
        </is>
      </c>
      <c r="E7" s="13" t="n">
        <v>4.2</v>
      </c>
      <c r="F7" s="13" t="n">
        <v>4.15</v>
      </c>
      <c r="G7" s="13" t="n">
        <v>-1</v>
      </c>
      <c r="H7" s="13" t="inlineStr"/>
    </row>
    <row r="8">
      <c r="A8" s="16" t="inlineStr">
        <is>
          <t>18/03/2025 12:08:17</t>
        </is>
      </c>
      <c r="B8" s="16" t="inlineStr">
        <is>
          <t>E-03</t>
        </is>
      </c>
      <c r="C8" s="16" t="inlineStr">
        <is>
          <t>Papas Fritas 50g</t>
        </is>
      </c>
      <c r="D8" s="16" t="inlineStr">
        <is>
          <t>Retiro cliente</t>
        </is>
      </c>
      <c r="E8" s="16" t="n">
        <v>4.15</v>
      </c>
      <c r="F8" s="16" t="n">
        <v>4.05</v>
      </c>
      <c r="G8" s="16" t="n">
        <v>-2</v>
      </c>
      <c r="H8" s="16" t="inlineStr"/>
    </row>
    <row r="9">
      <c r="A9" s="44" t="inlineStr">
        <is>
          <t>18/03/2025 13:02:05</t>
        </is>
      </c>
      <c r="B9" s="44" t="inlineStr">
        <is>
          <t>E-03</t>
        </is>
      </c>
      <c r="C9" s="44" t="inlineStr">
        <is>
          <t>Papas Fritas 50g</t>
        </is>
      </c>
      <c r="D9" s="44" t="inlineStr">
        <is>
          <t>⚠️ RETIRO MASIVO ANÓMALO</t>
        </is>
      </c>
      <c r="E9" s="44" t="n">
        <v>4.05</v>
      </c>
      <c r="F9" s="44" t="n">
        <v>2.55</v>
      </c>
      <c r="G9" s="44" t="n">
        <v>-30</v>
      </c>
      <c r="H9" s="20" t="inlineStr">
        <is>
          <t>🚨 REVISAR CÁMARA</t>
        </is>
      </c>
    </row>
    <row r="10">
      <c r="A10" s="44" t="inlineStr">
        <is>
          <t>18/03/2025 13:02:58</t>
        </is>
      </c>
      <c r="B10" s="44" t="inlineStr">
        <is>
          <t>E-03</t>
        </is>
      </c>
      <c r="C10" s="44" t="inlineStr">
        <is>
          <t>Papas Fritas 50g</t>
        </is>
      </c>
      <c r="D10" s="44" t="inlineStr">
        <is>
          <t>Alerta enviada a dueño</t>
        </is>
      </c>
      <c r="E10" s="44" t="n">
        <v>2.55</v>
      </c>
      <c r="F10" s="44" t="n">
        <v>2.55</v>
      </c>
      <c r="G10" s="44" t="n">
        <v>0</v>
      </c>
      <c r="H10" s="19" t="inlineStr">
        <is>
          <t>🔔 Notif. Push</t>
        </is>
      </c>
    </row>
    <row r="11">
      <c r="A11" s="13" t="inlineStr">
        <is>
          <t>18/03/2025 14:30:00</t>
        </is>
      </c>
      <c r="B11" s="13" t="inlineStr">
        <is>
          <t>E-03</t>
        </is>
      </c>
      <c r="C11" s="13" t="inlineStr">
        <is>
          <t>Papas Fritas 50g</t>
        </is>
      </c>
      <c r="D11" s="13" t="inlineStr">
        <is>
          <t>Retiro cliente</t>
        </is>
      </c>
      <c r="E11" s="13" t="n">
        <v>2.55</v>
      </c>
      <c r="F11" s="13" t="n">
        <v>2.5</v>
      </c>
      <c r="G11" s="13" t="n">
        <v>-1</v>
      </c>
      <c r="H11" s="13" t="inlineStr"/>
    </row>
    <row r="12">
      <c r="A12" s="16" t="inlineStr">
        <is>
          <t>18/03/2025 16:20:44</t>
        </is>
      </c>
      <c r="B12" s="16" t="inlineStr">
        <is>
          <t>E-03</t>
        </is>
      </c>
      <c r="C12" s="16" t="inlineStr">
        <is>
          <t>Papas Fritas 50g</t>
        </is>
      </c>
      <c r="D12" s="16" t="inlineStr">
        <is>
          <t>Retiro cliente</t>
        </is>
      </c>
      <c r="E12" s="16" t="n">
        <v>2.5</v>
      </c>
      <c r="F12" s="16" t="n">
        <v>2.45</v>
      </c>
      <c r="G12" s="16" t="n">
        <v>-1</v>
      </c>
      <c r="H12" s="16" t="inlineStr"/>
    </row>
    <row r="13">
      <c r="A13" s="13" t="inlineStr">
        <is>
          <t>18/03/2025 17:58:01</t>
        </is>
      </c>
      <c r="B13" s="13" t="inlineStr">
        <is>
          <t>E-03</t>
        </is>
      </c>
      <c r="C13" s="13" t="inlineStr">
        <is>
          <t>Papas Fritas 50g</t>
        </is>
      </c>
      <c r="D13" s="13" t="inlineStr">
        <is>
          <t>Cierre turno – auditoría</t>
        </is>
      </c>
      <c r="E13" s="13" t="n">
        <v>2.45</v>
      </c>
      <c r="F13" s="13" t="n">
        <v>2.45</v>
      </c>
      <c r="G13" s="13" t="n">
        <v>0</v>
      </c>
      <c r="H13" s="20" t="inlineStr">
        <is>
          <t>📋 Corte</t>
        </is>
      </c>
    </row>
    <row r="16" ht="30" customHeight="1">
      <c r="A16" s="45" t="inlineStr">
        <is>
          <t>⚠️  El retiro de las 13:02:05 fue marcado como ANOMALÍA (30 unidades en &lt;1 seg). Se recomienda revisar grabación de cámara en esa estampa de tiempo exacta.</t>
        </is>
      </c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2026-03-27T18:20:55Z</dcterms:created>
  <dcterms:modified xmlns:dcterms="http://purl.org/dc/terms/" xmlns:xsi="http://www.w3.org/2001/XMLSchema-instance" xsi:type="dcterms:W3CDTF">2026-03-27T18:20:55Z</dcterms:modified>
</cp:coreProperties>
</file>