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rikG\OneDrive\Documents\ciclo2026-1\proyecto_carrera\meta_4-disenio-sistema\entrega\"/>
    </mc:Choice>
  </mc:AlternateContent>
  <xr:revisionPtr revIDLastSave="0" documentId="13_ncr:1_{ADC5B5A5-1CDE-491F-A0E0-DF5BE605C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📊 Resumen" sheetId="1" r:id="rId1"/>
    <sheet name="📦 Inventario" sheetId="2" r:id="rId2"/>
    <sheet name="↕️ Entradas y Salidas" sheetId="3" r:id="rId3"/>
    <sheet name="🚨 Mermas y Alertas" sheetId="4" r:id="rId4"/>
    <sheet name="📈 Rotación" sheetId="5" r:id="rId5"/>
    <sheet name="🚚 Proveedores" sheetId="6" r:id="rId6"/>
    <sheet name="🕐 Trazabilida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6" l="1"/>
  <c r="G12" i="6"/>
  <c r="I12" i="6" s="1"/>
  <c r="I11" i="6"/>
  <c r="G11" i="6"/>
  <c r="H11" i="6" s="1"/>
  <c r="I10" i="6"/>
  <c r="H10" i="6"/>
  <c r="G10" i="6"/>
  <c r="G9" i="6"/>
  <c r="I9" i="6" s="1"/>
  <c r="G8" i="6"/>
  <c r="I8" i="6" s="1"/>
  <c r="I7" i="6"/>
  <c r="G7" i="6"/>
  <c r="H7" i="6" s="1"/>
  <c r="I6" i="6"/>
  <c r="H6" i="6"/>
  <c r="G6" i="6"/>
  <c r="G5" i="6"/>
  <c r="I5" i="6" s="1"/>
  <c r="G4" i="6"/>
  <c r="I4" i="6" s="1"/>
  <c r="I3" i="6"/>
  <c r="G3" i="6"/>
  <c r="H3" i="6" s="1"/>
  <c r="G14" i="5"/>
  <c r="G13" i="5"/>
  <c r="G12" i="5"/>
  <c r="G11" i="5"/>
  <c r="G10" i="5"/>
  <c r="G9" i="5"/>
  <c r="G8" i="5"/>
  <c r="G7" i="5"/>
  <c r="G6" i="5"/>
  <c r="G5" i="5"/>
  <c r="G4" i="5"/>
  <c r="G3" i="5"/>
  <c r="G14" i="2"/>
  <c r="G13" i="2"/>
  <c r="G12" i="2"/>
  <c r="G11" i="2"/>
  <c r="G10" i="2"/>
  <c r="G9" i="2"/>
  <c r="G8" i="2"/>
  <c r="G7" i="2"/>
  <c r="G6" i="2"/>
  <c r="G5" i="2"/>
  <c r="G4" i="2"/>
  <c r="G3" i="2"/>
  <c r="I27" i="1"/>
  <c r="H5" i="6" l="1"/>
  <c r="H9" i="6"/>
  <c r="H4" i="6"/>
  <c r="H8" i="6"/>
</calcChain>
</file>

<file path=xl/sharedStrings.xml><?xml version="1.0" encoding="utf-8"?>
<sst xmlns="http://schemas.openxmlformats.org/spreadsheetml/2006/main" count="561" uniqueCount="272">
  <si>
    <t>Sucursal: Tienda Centro  |  Generado: 24/03/2025 08:00 AM  |  Periodo: Semanal</t>
  </si>
  <si>
    <t>Total Unidades
Retiradas</t>
  </si>
  <si>
    <t>Mermas
Confirmadas</t>
  </si>
  <si>
    <t>Alertas Stock
Bajo</t>
  </si>
  <si>
    <t>Discrepancias
Proveedor</t>
  </si>
  <si>
    <t>Rotación
Promedio</t>
  </si>
  <si>
    <t>1,248</t>
  </si>
  <si>
    <t>23</t>
  </si>
  <si>
    <t>7</t>
  </si>
  <si>
    <t>2</t>
  </si>
  <si>
    <t>3.4 días</t>
  </si>
  <si>
    <t>↑ +12% vs semana anterior</t>
  </si>
  <si>
    <t>↓  -4 vs semana anterior</t>
  </si>
  <si>
    <t>Requieren atención hoy</t>
  </si>
  <si>
    <t>$ 340 MXN en dif.</t>
  </si>
  <si>
    <t>Saludable ✓</t>
  </si>
  <si>
    <t>🏆  TOP 10 PRODUCTOS POR UNIDADES RETIRADAS  –  Semana</t>
  </si>
  <si>
    <t>#</t>
  </si>
  <si>
    <t>Producto</t>
  </si>
  <si>
    <t>Estante</t>
  </si>
  <si>
    <t>Unidades Retiradas</t>
  </si>
  <si>
    <t>Peso Total (kg)</t>
  </si>
  <si>
    <t>% del Total</t>
  </si>
  <si>
    <t>Tendencia</t>
  </si>
  <si>
    <t>Refresco Cola 600ml</t>
  </si>
  <si>
    <t>E-01</t>
  </si>
  <si>
    <t>25.0%</t>
  </si>
  <si>
    <t>▲ Sube</t>
  </si>
  <si>
    <t>Agua Purificada 1L</t>
  </si>
  <si>
    <t>E-02</t>
  </si>
  <si>
    <t>23.2%</t>
  </si>
  <si>
    <t>Papas Fritas 50g</t>
  </si>
  <si>
    <t>E-03</t>
  </si>
  <si>
    <t>14.3%</t>
  </si>
  <si>
    <t>→ Estable</t>
  </si>
  <si>
    <t>Jugo Naranja 250ml</t>
  </si>
  <si>
    <t>E-04</t>
  </si>
  <si>
    <t>11.5%</t>
  </si>
  <si>
    <t>▼ Baja</t>
  </si>
  <si>
    <t>Leche Entera 1L</t>
  </si>
  <si>
    <t>E-05</t>
  </si>
  <si>
    <t>9.0%</t>
  </si>
  <si>
    <t>Galletas Surtidas 100g</t>
  </si>
  <si>
    <t>E-06</t>
  </si>
  <si>
    <t>7.0%</t>
  </si>
  <si>
    <t>Atún en Lata 140g</t>
  </si>
  <si>
    <t>E-07</t>
  </si>
  <si>
    <t>4.5%</t>
  </si>
  <si>
    <t>Sabritas Rancheritos 45g</t>
  </si>
  <si>
    <t>E-08</t>
  </si>
  <si>
    <t>2.7%</t>
  </si>
  <si>
    <t>Café Soluble 100g</t>
  </si>
  <si>
    <t>E-09</t>
  </si>
  <si>
    <t>1.8%</t>
  </si>
  <si>
    <t>Jugo Manzana 500ml</t>
  </si>
  <si>
    <t>E-10</t>
  </si>
  <si>
    <t>1.1%</t>
  </si>
  <si>
    <t>📈  VENTAS DIARIAS (Unidades Retiradas)  –  Semana en Curso</t>
  </si>
  <si>
    <t>Día</t>
  </si>
  <si>
    <t>Lunes</t>
  </si>
  <si>
    <t>Martes</t>
  </si>
  <si>
    <t>Miércoles</t>
  </si>
  <si>
    <t>Jueves</t>
  </si>
  <si>
    <t>Viernes</t>
  </si>
  <si>
    <t>Sábado</t>
  </si>
  <si>
    <t>Domingo</t>
  </si>
  <si>
    <t>TOTAL</t>
  </si>
  <si>
    <t>Unidades</t>
  </si>
  <si>
    <t>Estante ID</t>
  </si>
  <si>
    <t>Categoría</t>
  </si>
  <si>
    <t>Peso Tara (kg)</t>
  </si>
  <si>
    <t>Peso Actual (kg)</t>
  </si>
  <si>
    <t>Cap. Máx (kg)</t>
  </si>
  <si>
    <t>% Lleno</t>
  </si>
  <si>
    <t>Unidades Est.</t>
  </si>
  <si>
    <t>Umbral Bajo</t>
  </si>
  <si>
    <t>Estado</t>
  </si>
  <si>
    <t>Último Cambio</t>
  </si>
  <si>
    <t>Observación</t>
  </si>
  <si>
    <t>Bebidas</t>
  </si>
  <si>
    <t>14</t>
  </si>
  <si>
    <t>20%</t>
  </si>
  <si>
    <t>🟢 OK</t>
  </si>
  <si>
    <t>07:45</t>
  </si>
  <si>
    <t>5</t>
  </si>
  <si>
    <t>15%</t>
  </si>
  <si>
    <t>🔴 Stock Bajo</t>
  </si>
  <si>
    <t>07:30</t>
  </si>
  <si>
    <t>Reponer hoy</t>
  </si>
  <si>
    <t>Botanas</t>
  </si>
  <si>
    <t>22</t>
  </si>
  <si>
    <t>25%</t>
  </si>
  <si>
    <t>🟡 Bajo</t>
  </si>
  <si>
    <t>06:50</t>
  </si>
  <si>
    <t>Revisar</t>
  </si>
  <si>
    <t>50</t>
  </si>
  <si>
    <t>07:55</t>
  </si>
  <si>
    <t>Lácteos</t>
  </si>
  <si>
    <t>18</t>
  </si>
  <si>
    <t>07:10</t>
  </si>
  <si>
    <t>8</t>
  </si>
  <si>
    <t>30%</t>
  </si>
  <si>
    <t>06:40</t>
  </si>
  <si>
    <t>Pedido auto</t>
  </si>
  <si>
    <t>Enlatados</t>
  </si>
  <si>
    <t>30</t>
  </si>
  <si>
    <t>07:00</t>
  </si>
  <si>
    <t>140</t>
  </si>
  <si>
    <t>07:20</t>
  </si>
  <si>
    <t>Abarrotes</t>
  </si>
  <si>
    <t>20</t>
  </si>
  <si>
    <t>06:55</t>
  </si>
  <si>
    <t>15</t>
  </si>
  <si>
    <t>07:40</t>
  </si>
  <si>
    <t>E-11</t>
  </si>
  <si>
    <t>Cereal Avena 500g</t>
  </si>
  <si>
    <t>07:15</t>
  </si>
  <si>
    <t>E-12</t>
  </si>
  <si>
    <t>Chicles Menta x10</t>
  </si>
  <si>
    <t>Dulces</t>
  </si>
  <si>
    <t>06:30</t>
  </si>
  <si>
    <t>Urge surtir</t>
  </si>
  <si>
    <t>Distribución de Stock por Categoría</t>
  </si>
  <si>
    <t>Peso (kg)</t>
  </si>
  <si>
    <t>Fecha</t>
  </si>
  <si>
    <t>Hora</t>
  </si>
  <si>
    <t>Tipo</t>
  </si>
  <si>
    <t>Peso Δ (kg)</t>
  </si>
  <si>
    <t>Unidades Δ</t>
  </si>
  <si>
    <t>Peso Post (kg)</t>
  </si>
  <si>
    <t>Evento</t>
  </si>
  <si>
    <t>Usuario/Sistema</t>
  </si>
  <si>
    <t>17/03</t>
  </si>
  <si>
    <t>08:15</t>
  </si>
  <si>
    <t>SALIDA</t>
  </si>
  <si>
    <t>Retiro cliente</t>
  </si>
  <si>
    <t>Sistema</t>
  </si>
  <si>
    <t>09:30</t>
  </si>
  <si>
    <t>ENTRADA</t>
  </si>
  <si>
    <t>Surtido proveedor</t>
  </si>
  <si>
    <t>Admin</t>
  </si>
  <si>
    <t>10:05</t>
  </si>
  <si>
    <t>11:42</t>
  </si>
  <si>
    <t>Galletas Surtidas</t>
  </si>
  <si>
    <t>14:20</t>
  </si>
  <si>
    <t>16:55</t>
  </si>
  <si>
    <t>ALERTA</t>
  </si>
  <si>
    <t>18/03</t>
  </si>
  <si>
    <t>09:15</t>
  </si>
  <si>
    <t>13:00</t>
  </si>
  <si>
    <t>17:30</t>
  </si>
  <si>
    <t>ANOMALÍA</t>
  </si>
  <si>
    <t>19/03</t>
  </si>
  <si>
    <t>08:00</t>
  </si>
  <si>
    <t>10:20</t>
  </si>
  <si>
    <t>20/03</t>
  </si>
  <si>
    <t>09:45</t>
  </si>
  <si>
    <t>Sabritas Rancheritos</t>
  </si>
  <si>
    <t>DISCREPANCIA</t>
  </si>
  <si>
    <t>21/03</t>
  </si>
  <si>
    <t>11:00</t>
  </si>
  <si>
    <t>22/03</t>
  </si>
  <si>
    <t>08:30</t>
  </si>
  <si>
    <t>Gerente</t>
  </si>
  <si>
    <t>RackIQ  –  Reporte de Mermas, Robos y Alertas  |  Semana 17-23 Mar 2025</t>
  </si>
  <si>
    <t>Total Alertas Semana</t>
  </si>
  <si>
    <t>Posibles Robos</t>
  </si>
  <si>
    <t>Mermas Confirmadas</t>
  </si>
  <si>
    <t>Pérdida Estimada</t>
  </si>
  <si>
    <t>12</t>
  </si>
  <si>
    <t>3</t>
  </si>
  <si>
    <t>23 u</t>
  </si>
  <si>
    <t>$890 MXN</t>
  </si>
  <si>
    <t>Tipo Alerta</t>
  </si>
  <si>
    <t>Clasificación</t>
  </si>
  <si>
    <t>Acción Tomada</t>
  </si>
  <si>
    <t>23:45</t>
  </si>
  <si>
    <t>Actividad Fuera Horario</t>
  </si>
  <si>
    <t>Posible Robo</t>
  </si>
  <si>
    <t>Alerta enviada</t>
  </si>
  <si>
    <t>Tasa Retiro Excesiva</t>
  </si>
  <si>
    <t>Confirmado Robo</t>
  </si>
  <si>
    <t>Revisión cámara</t>
  </si>
  <si>
    <t>02:20</t>
  </si>
  <si>
    <t>10:10</t>
  </si>
  <si>
    <t>Peso Desconocido</t>
  </si>
  <si>
    <t>Producto Ajeno</t>
  </si>
  <si>
    <t>Empleado revisó</t>
  </si>
  <si>
    <t>09:00</t>
  </si>
  <si>
    <t>Merma</t>
  </si>
  <si>
    <t>Caducado/Dañado</t>
  </si>
  <si>
    <t>Dado de baja</t>
  </si>
  <si>
    <t>15:30</t>
  </si>
  <si>
    <t>Discrepancia Proveedor</t>
  </si>
  <si>
    <t>Error Proveedor</t>
  </si>
  <si>
    <t>Nota enviada</t>
  </si>
  <si>
    <t>23/03</t>
  </si>
  <si>
    <t>11:20</t>
  </si>
  <si>
    <t>Stock Bajo Automático</t>
  </si>
  <si>
    <t>Stock Bajo</t>
  </si>
  <si>
    <t>Pedido generado</t>
  </si>
  <si>
    <t>RackIQ  –  Análisis de Rotación, Estacionalidad y Rentabilidad por Estante</t>
  </si>
  <si>
    <t>Rotación (días)</t>
  </si>
  <si>
    <t>Ventas Sem Actual</t>
  </si>
  <si>
    <t>Ventas Sem Ant</t>
  </si>
  <si>
    <t>Var %</t>
  </si>
  <si>
    <t>Costo Unit ($)</t>
  </si>
  <si>
    <t>Margen (%)</t>
  </si>
  <si>
    <t>Zona Rentabilidad</t>
  </si>
  <si>
    <t>Semana Actual</t>
  </si>
  <si>
    <t>Semana Anterior</t>
  </si>
  <si>
    <t>Refresco Cola 600m</t>
  </si>
  <si>
    <t xml:space="preserve">Galletas Surtidas </t>
  </si>
  <si>
    <t>Sabritas Rancherit</t>
  </si>
  <si>
    <t>RackIQ  –  Auditoría de Surtido y Control de Proveedores  |  Marzo 2025</t>
  </si>
  <si>
    <t>Proveedor</t>
  </si>
  <si>
    <t>Kg Facturados</t>
  </si>
  <si>
    <t>Kg Detectados (Sensor)</t>
  </si>
  <si>
    <t>Diferencia (kg)</t>
  </si>
  <si>
    <t>% Discrepancia</t>
  </si>
  <si>
    <t>Monto Discrepancia ($)</t>
  </si>
  <si>
    <t>03/03</t>
  </si>
  <si>
    <t>Dist. Bepensa</t>
  </si>
  <si>
    <t>05/03</t>
  </si>
  <si>
    <t>Bonafont</t>
  </si>
  <si>
    <t>07/03</t>
  </si>
  <si>
    <t>Sabritas S.A.</t>
  </si>
  <si>
    <t>10/03</t>
  </si>
  <si>
    <t>Lala Lácteos</t>
  </si>
  <si>
    <t>12/03</t>
  </si>
  <si>
    <t>Gamesa</t>
  </si>
  <si>
    <t>15/03</t>
  </si>
  <si>
    <t>Café Moctezuma</t>
  </si>
  <si>
    <t>RackIQ  –  Línea de Tiempo de Retiros (Auditoría para Cámaras de Seguridad)  |  18/03/2025</t>
  </si>
  <si>
    <t>Timestamp Exacto</t>
  </si>
  <si>
    <t>Peso Antes (kg)</t>
  </si>
  <si>
    <t>Peso Después (kg)</t>
  </si>
  <si>
    <t>Δ Unidades</t>
  </si>
  <si>
    <t>Flag</t>
  </si>
  <si>
    <t>18/03/2025 06:30:12</t>
  </si>
  <si>
    <t>Apertura tienda – peso base</t>
  </si>
  <si>
    <t>18/03/2025 08:02:45</t>
  </si>
  <si>
    <t>18/03/2025 08:41:03</t>
  </si>
  <si>
    <t>18/03/2025 09:15:22</t>
  </si>
  <si>
    <t>18/03/2025 10:55:38</t>
  </si>
  <si>
    <t>18/03/2025 12:08:17</t>
  </si>
  <si>
    <t>18/03/2025 13:02:05</t>
  </si>
  <si>
    <t>18/03/2025 13:02:58</t>
  </si>
  <si>
    <t>Alerta enviada a dueño</t>
  </si>
  <si>
    <t>18/03/2025 14:30:00</t>
  </si>
  <si>
    <t>18/03/2025 16:20:44</t>
  </si>
  <si>
    <t>18/03/2025 17:58:01</t>
  </si>
  <si>
    <t>Cierre turno – auditoría</t>
  </si>
  <si>
    <t>⚠️  El retiro de las 13:02:05 fue marcado como ANOMALÍA (30 unidades en &lt;1 seg). Se recomienda revisar grabación de cámara en esa estampa de tiempo exacta.</t>
  </si>
  <si>
    <t>RackIQ  –  Reporte de Salud del Negocio  |  Semana del 17 al 23 de Marzo 2026</t>
  </si>
  <si>
    <t>RackIQ  –  Estado de Inventario en Tiempo Real  |  Actualizado: 24/03/2026 07:58 AM</t>
  </si>
  <si>
    <t>RackIQ  –  Registro de Entradas y Salidas  |  Semana 17-23 Mar 2026</t>
  </si>
  <si>
    <t>Posible robo</t>
  </si>
  <si>
    <t>Peso desconocido</t>
  </si>
  <si>
    <t xml:space="preserve"> Zona Caliente</t>
  </si>
  <si>
    <t>Zona Caliente</t>
  </si>
  <si>
    <t xml:space="preserve"> Activo</t>
  </si>
  <si>
    <t>Activo</t>
  </si>
  <si>
    <t xml:space="preserve"> Lento</t>
  </si>
  <si>
    <t xml:space="preserve"> Zona Muerta</t>
  </si>
  <si>
    <t xml:space="preserve"> Correcto</t>
  </si>
  <si>
    <t xml:space="preserve"> Discrepancia</t>
  </si>
  <si>
    <t>Correcto</t>
  </si>
  <si>
    <t>RETIRO MASIVO ANÓMALO</t>
  </si>
  <si>
    <t>REVISAR CÁMARA</t>
  </si>
  <si>
    <t xml:space="preserve"> Notif. Push</t>
  </si>
  <si>
    <t>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</si>
</sst>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\$#,##0.00"/>
  </numFmts>
  <fonts count="3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00C2FF"/>
      <name val="Arial"/>
    </font>
    <font>
      <b/>
      <sz val="9"/>
      <color rgb="FF6B7A99"/>
      <name val="Arial"/>
    </font>
    <font>
      <b/>
      <sz val="20"/>
      <color rgb="FF00C48C"/>
      <name val="Arial"/>
    </font>
    <font>
      <sz val="8"/>
      <color rgb="FF6B7A99"/>
      <name val="Arial"/>
    </font>
    <font>
      <b/>
      <sz val="20"/>
      <color rgb="FFFF4B4B"/>
      <name val="Arial"/>
    </font>
    <font>
      <b/>
      <sz val="20"/>
      <color rgb="FFFFB830"/>
      <name val="Arial"/>
    </font>
    <font>
      <b/>
      <sz val="20"/>
      <color rgb="FF00C2FF"/>
      <name val="Arial"/>
    </font>
    <font>
      <b/>
      <sz val="12"/>
      <color rgb="FFFFFFFF"/>
      <name val="Arial"/>
    </font>
    <font>
      <b/>
      <sz val="9"/>
      <color rgb="FF0D1B2A"/>
      <name val="Arial"/>
    </font>
    <font>
      <b/>
      <sz val="9"/>
      <color rgb="FF00C2FF"/>
      <name val="Arial"/>
    </font>
    <font>
      <sz val="9"/>
      <color rgb="FF0D1B2A"/>
      <name val="Arial"/>
    </font>
    <font>
      <b/>
      <sz val="9"/>
      <color rgb="FF00C48C"/>
      <name val="Arial"/>
    </font>
    <font>
      <b/>
      <sz val="9"/>
      <color rgb="FFFF4B4B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FFB830"/>
      <name val="Arial"/>
    </font>
    <font>
      <b/>
      <sz val="11"/>
      <color rgb="FF0D1B2A"/>
      <name val="Arial"/>
    </font>
    <font>
      <sz val="9"/>
      <color rgb="FFFF4B4B"/>
      <name val="Arial"/>
    </font>
    <font>
      <sz val="9"/>
      <color rgb="FF00C48C"/>
      <name val="Arial"/>
    </font>
    <font>
      <b/>
      <sz val="18"/>
      <color rgb="FFFFB830"/>
      <name val="Arial"/>
    </font>
    <font>
      <b/>
      <sz val="18"/>
      <color rgb="FFFF4B4B"/>
      <name val="Arial"/>
    </font>
    <font>
      <i/>
      <sz val="9"/>
      <color rgb="FFFF4B4B"/>
      <name val="Arial"/>
    </font>
    <font>
      <sz val="9"/>
      <color rgb="FFFF0000"/>
      <name val="Arial"/>
      <family val="2"/>
    </font>
    <font>
      <sz val="9"/>
      <color rgb="FFFFC000"/>
      <name val="Arial"/>
      <family val="2"/>
    </font>
    <font>
      <b/>
      <sz val="9"/>
      <color rgb="FF00C48C"/>
      <name val="Arial"/>
      <family val="2"/>
    </font>
    <font>
      <b/>
      <sz val="9"/>
      <color rgb="FF6B7A99"/>
      <name val="Arial"/>
      <family val="2"/>
    </font>
    <font>
      <b/>
      <sz val="9"/>
      <color rgb="FFFFB830"/>
      <name val="Arial"/>
      <family val="2"/>
    </font>
    <font>
      <b/>
      <sz val="9"/>
      <color rgb="FFFF4B4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F0F4F8"/>
      </patternFill>
    </fill>
    <fill>
      <patternFill patternType="solid">
        <fgColor rgb="FF00C2FF"/>
      </patternFill>
    </fill>
    <fill>
      <patternFill patternType="solid">
        <fgColor rgb="FFFFFFFF"/>
      </patternFill>
    </fill>
    <fill>
      <patternFill patternType="solid">
        <fgColor rgb="FFFFF0F0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0" fillId="4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164" fontId="12" fillId="3" borderId="2" xfId="0" applyNumberFormat="1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65" fontId="19" fillId="3" borderId="2" xfId="0" applyNumberFormat="1" applyFont="1" applyFill="1" applyBorder="1" applyAlignment="1">
      <alignment horizontal="center" vertical="center"/>
    </xf>
    <xf numFmtId="165" fontId="2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65" fontId="19" fillId="5" borderId="2" xfId="0" applyNumberFormat="1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165" fontId="20" fillId="3" borderId="2" xfId="0" applyNumberFormat="1" applyFont="1" applyFill="1" applyBorder="1" applyAlignment="1">
      <alignment horizontal="center" vertical="center"/>
    </xf>
    <xf numFmtId="9" fontId="12" fillId="3" borderId="2" xfId="0" applyNumberFormat="1" applyFont="1" applyFill="1" applyBorder="1" applyAlignment="1">
      <alignment horizontal="center" vertical="center"/>
    </xf>
    <xf numFmtId="9" fontId="12" fillId="5" borderId="2" xfId="0" applyNumberFormat="1" applyFont="1" applyFill="1" applyBorder="1" applyAlignment="1">
      <alignment horizontal="center" vertical="center"/>
    </xf>
    <xf numFmtId="2" fontId="12" fillId="3" borderId="2" xfId="0" applyNumberFormat="1" applyFont="1" applyFill="1" applyBorder="1" applyAlignment="1">
      <alignment horizontal="center" vertical="center"/>
    </xf>
    <xf numFmtId="166" fontId="12" fillId="3" borderId="2" xfId="0" applyNumberFormat="1" applyFont="1" applyFill="1" applyBorder="1" applyAlignment="1">
      <alignment horizontal="center" vertical="center"/>
    </xf>
    <xf numFmtId="2" fontId="12" fillId="5" borderId="2" xfId="0" applyNumberFormat="1" applyFont="1" applyFill="1" applyBorder="1" applyAlignment="1">
      <alignment horizontal="center" vertical="center"/>
    </xf>
    <xf numFmtId="166" fontId="12" fillId="5" borderId="2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0" fillId="3" borderId="0" xfId="0" applyFill="1"/>
    <xf numFmtId="0" fontId="0" fillId="0" borderId="0" xfId="0"/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3" fillId="6" borderId="0" xfId="0" applyFont="1" applyFill="1" applyAlignment="1">
      <alignment horizontal="left" vertical="center" wrapText="1"/>
    </xf>
    <xf numFmtId="0" fontId="24" fillId="5" borderId="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Unidades Retiradas por Día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'📊 Resumen'!$B$26</c:f>
              <c:strCache>
                <c:ptCount val="1"/>
                <c:pt idx="0">
                  <c:v>Lunes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'📊 Resumen'!$B$26:$H$26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'📊 Resumen'!$B$27</c:f>
              <c:numCache>
                <c:formatCode>General</c:formatCode>
                <c:ptCount val="1"/>
                <c:pt idx="0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8-4359-8DE8-265ACE8CEB50}"/>
            </c:ext>
          </c:extLst>
        </c:ser>
        <c:ser>
          <c:idx val="1"/>
          <c:order val="1"/>
          <c:tx>
            <c:strRef>
              <c:f>'📊 Resumen'!$C$26</c:f>
              <c:strCache>
                <c:ptCount val="1"/>
                <c:pt idx="0">
                  <c:v>Martes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'📊 Resumen'!$B$26:$H$26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'📊 Resumen'!$C$27</c:f>
              <c:numCache>
                <c:formatCode>General</c:formatCode>
                <c:ptCount val="1"/>
                <c:pt idx="0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8-4359-8DE8-265ACE8CEB50}"/>
            </c:ext>
          </c:extLst>
        </c:ser>
        <c:ser>
          <c:idx val="2"/>
          <c:order val="2"/>
          <c:tx>
            <c:strRef>
              <c:f>'📊 Resumen'!$D$26</c:f>
              <c:strCache>
                <c:ptCount val="1"/>
                <c:pt idx="0">
                  <c:v>Miércoles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'📊 Resumen'!$B$26:$H$26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'📊 Resumen'!$D$27</c:f>
              <c:numCache>
                <c:formatCode>General</c:formatCode>
                <c:ptCount val="1"/>
                <c:pt idx="0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8-4359-8DE8-265ACE8CEB50}"/>
            </c:ext>
          </c:extLst>
        </c:ser>
        <c:ser>
          <c:idx val="3"/>
          <c:order val="3"/>
          <c:tx>
            <c:strRef>
              <c:f>'📊 Resumen'!$E$26</c:f>
              <c:strCache>
                <c:ptCount val="1"/>
                <c:pt idx="0">
                  <c:v>Jueves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'📊 Resumen'!$B$26:$H$26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'📊 Resumen'!$E$27</c:f>
              <c:numCache>
                <c:formatCode>General</c:formatCode>
                <c:ptCount val="1"/>
                <c:pt idx="0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8-4359-8DE8-265ACE8CEB50}"/>
            </c:ext>
          </c:extLst>
        </c:ser>
        <c:ser>
          <c:idx val="4"/>
          <c:order val="4"/>
          <c:tx>
            <c:strRef>
              <c:f>'📊 Resumen'!$F$26</c:f>
              <c:strCache>
                <c:ptCount val="1"/>
                <c:pt idx="0">
                  <c:v>Viernes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'📊 Resumen'!$B$26:$H$26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'📊 Resumen'!$F$27</c:f>
              <c:numCache>
                <c:formatCode>General</c:formatCode>
                <c:ptCount val="1"/>
                <c:pt idx="0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8-4359-8DE8-265ACE8CEB50}"/>
            </c:ext>
          </c:extLst>
        </c:ser>
        <c:ser>
          <c:idx val="5"/>
          <c:order val="5"/>
          <c:tx>
            <c:strRef>
              <c:f>'📊 Resumen'!$G$26</c:f>
              <c:strCache>
                <c:ptCount val="1"/>
                <c:pt idx="0">
                  <c:v>Sábado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'📊 Resumen'!$B$26:$H$26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'📊 Resumen'!$G$27</c:f>
              <c:numCache>
                <c:formatCode>General</c:formatCode>
                <c:ptCount val="1"/>
                <c:pt idx="0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08-4359-8DE8-265ACE8CEB50}"/>
            </c:ext>
          </c:extLst>
        </c:ser>
        <c:ser>
          <c:idx val="6"/>
          <c:order val="6"/>
          <c:tx>
            <c:strRef>
              <c:f>'📊 Resumen'!$H$26</c:f>
              <c:strCache>
                <c:ptCount val="1"/>
                <c:pt idx="0">
                  <c:v>Domingo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'📊 Resumen'!$B$26:$H$26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'📊 Resumen'!$H$27</c:f>
              <c:numCache>
                <c:formatCode>General</c:formatCode>
                <c:ptCount val="1"/>
                <c:pt idx="0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08-4359-8DE8-265ACE8CE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Día de la Semana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Unidades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% Stock por Categoría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'📦 Inventario'!$B$18</c:f>
              <c:strCache>
                <c:ptCount val="1"/>
                <c:pt idx="0">
                  <c:v>Peso (kg)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'📦 Inventario'!$A$19:$A$24</c:f>
              <c:strCache>
                <c:ptCount val="6"/>
                <c:pt idx="0">
                  <c:v>Bebidas</c:v>
                </c:pt>
                <c:pt idx="1">
                  <c:v>Botanas</c:v>
                </c:pt>
                <c:pt idx="2">
                  <c:v>Lácteos</c:v>
                </c:pt>
                <c:pt idx="3">
                  <c:v>Enlatados</c:v>
                </c:pt>
                <c:pt idx="4">
                  <c:v>Abarrotes</c:v>
                </c:pt>
                <c:pt idx="5">
                  <c:v>Dulces</c:v>
                </c:pt>
              </c:strCache>
            </c:strRef>
          </c:cat>
          <c:val>
            <c:numRef>
              <c:f>'📦 Inventario'!$B$19:$B$24</c:f>
              <c:numCache>
                <c:formatCode>General</c:formatCode>
                <c:ptCount val="6"/>
                <c:pt idx="0">
                  <c:v>33.4</c:v>
                </c:pt>
                <c:pt idx="1">
                  <c:v>8.1999999999999993</c:v>
                </c:pt>
                <c:pt idx="2">
                  <c:v>18</c:v>
                </c:pt>
                <c:pt idx="3">
                  <c:v>4.2</c:v>
                </c:pt>
                <c:pt idx="4">
                  <c:v>6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2-4577-AD3C-C5F9EB333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Ventas: Semana Actual vs Anterior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'📈 Rotación'!$B$17</c:f>
              <c:strCache>
                <c:ptCount val="1"/>
                <c:pt idx="0">
                  <c:v>Semana Actual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'📈 Rotación'!$A$18:$A$29</c:f>
              <c:strCache>
                <c:ptCount val="12"/>
                <c:pt idx="0">
                  <c:v>Refresco Cola 600m</c:v>
                </c:pt>
                <c:pt idx="1">
                  <c:v>Agua Purificada 1L</c:v>
                </c:pt>
                <c:pt idx="2">
                  <c:v>Papas Fritas 50g</c:v>
                </c:pt>
                <c:pt idx="3">
                  <c:v>Jugo Naranja 250ml</c:v>
                </c:pt>
                <c:pt idx="4">
                  <c:v>Leche Entera 1L</c:v>
                </c:pt>
                <c:pt idx="5">
                  <c:v>Galletas Surtidas </c:v>
                </c:pt>
                <c:pt idx="6">
                  <c:v>Atún en Lata 140g</c:v>
                </c:pt>
                <c:pt idx="7">
                  <c:v>Sabritas Rancherit</c:v>
                </c:pt>
                <c:pt idx="8">
                  <c:v>Café Soluble 100g</c:v>
                </c:pt>
                <c:pt idx="9">
                  <c:v>Jugo Manzana 500ml</c:v>
                </c:pt>
                <c:pt idx="10">
                  <c:v>Cereal Avena 500g</c:v>
                </c:pt>
                <c:pt idx="11">
                  <c:v>Chicles Menta x10</c:v>
                </c:pt>
              </c:strCache>
            </c:strRef>
          </c:cat>
          <c:val>
            <c:numRef>
              <c:f>'📈 Rotación'!$B$18:$B$29</c:f>
              <c:numCache>
                <c:formatCode>General</c:formatCode>
                <c:ptCount val="12"/>
                <c:pt idx="0">
                  <c:v>312</c:v>
                </c:pt>
                <c:pt idx="1">
                  <c:v>289</c:v>
                </c:pt>
                <c:pt idx="2">
                  <c:v>178</c:v>
                </c:pt>
                <c:pt idx="3">
                  <c:v>143</c:v>
                </c:pt>
                <c:pt idx="4">
                  <c:v>112</c:v>
                </c:pt>
                <c:pt idx="5">
                  <c:v>87</c:v>
                </c:pt>
                <c:pt idx="6">
                  <c:v>56</c:v>
                </c:pt>
                <c:pt idx="7">
                  <c:v>34</c:v>
                </c:pt>
                <c:pt idx="8">
                  <c:v>23</c:v>
                </c:pt>
                <c:pt idx="9">
                  <c:v>14</c:v>
                </c:pt>
                <c:pt idx="10">
                  <c:v>14</c:v>
                </c:pt>
                <c:pt idx="11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90-4E8E-8326-568C6EFC6972}"/>
            </c:ext>
          </c:extLst>
        </c:ser>
        <c:ser>
          <c:idx val="1"/>
          <c:order val="1"/>
          <c:tx>
            <c:strRef>
              <c:f>'📈 Rotación'!$C$17</c:f>
              <c:strCache>
                <c:ptCount val="1"/>
                <c:pt idx="0">
                  <c:v>Semana Anterior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'📈 Rotación'!$A$18:$A$29</c:f>
              <c:strCache>
                <c:ptCount val="12"/>
                <c:pt idx="0">
                  <c:v>Refresco Cola 600m</c:v>
                </c:pt>
                <c:pt idx="1">
                  <c:v>Agua Purificada 1L</c:v>
                </c:pt>
                <c:pt idx="2">
                  <c:v>Papas Fritas 50g</c:v>
                </c:pt>
                <c:pt idx="3">
                  <c:v>Jugo Naranja 250ml</c:v>
                </c:pt>
                <c:pt idx="4">
                  <c:v>Leche Entera 1L</c:v>
                </c:pt>
                <c:pt idx="5">
                  <c:v>Galletas Surtidas </c:v>
                </c:pt>
                <c:pt idx="6">
                  <c:v>Atún en Lata 140g</c:v>
                </c:pt>
                <c:pt idx="7">
                  <c:v>Sabritas Rancherit</c:v>
                </c:pt>
                <c:pt idx="8">
                  <c:v>Café Soluble 100g</c:v>
                </c:pt>
                <c:pt idx="9">
                  <c:v>Jugo Manzana 500ml</c:v>
                </c:pt>
                <c:pt idx="10">
                  <c:v>Cereal Avena 500g</c:v>
                </c:pt>
                <c:pt idx="11">
                  <c:v>Chicles Menta x10</c:v>
                </c:pt>
              </c:strCache>
            </c:strRef>
          </c:cat>
          <c:val>
            <c:numRef>
              <c:f>'📈 Rotación'!$C$18:$C$29</c:f>
              <c:numCache>
                <c:formatCode>General</c:formatCode>
                <c:ptCount val="12"/>
                <c:pt idx="0">
                  <c:v>278</c:v>
                </c:pt>
                <c:pt idx="1">
                  <c:v>301</c:v>
                </c:pt>
                <c:pt idx="2">
                  <c:v>165</c:v>
                </c:pt>
                <c:pt idx="3">
                  <c:v>158</c:v>
                </c:pt>
                <c:pt idx="4">
                  <c:v>108</c:v>
                </c:pt>
                <c:pt idx="5">
                  <c:v>90</c:v>
                </c:pt>
                <c:pt idx="6">
                  <c:v>61</c:v>
                </c:pt>
                <c:pt idx="7">
                  <c:v>38</c:v>
                </c:pt>
                <c:pt idx="8">
                  <c:v>19</c:v>
                </c:pt>
                <c:pt idx="9">
                  <c:v>17</c:v>
                </c:pt>
                <c:pt idx="10">
                  <c:v>12</c:v>
                </c:pt>
                <c:pt idx="11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90-4E8E-8326-568C6EFC6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Unidades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16</xdr:row>
      <xdr:rowOff>0</xdr:rowOff>
    </xdr:from>
    <xdr:ext cx="54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tabSelected="1" topLeftCell="A35" workbookViewId="0">
      <selection sqref="A1:J1"/>
    </sheetView>
  </sheetViews>
  <sheetFormatPr defaultRowHeight="14.4" x14ac:dyDescent="0.3"/>
  <cols>
    <col min="1" max="1" width="4" customWidth="1"/>
    <col min="2" max="2" width="26" customWidth="1"/>
    <col min="3" max="3" width="12" customWidth="1"/>
    <col min="4" max="4" width="18" customWidth="1"/>
    <col min="5" max="5" width="16" customWidth="1"/>
    <col min="6" max="7" width="14" customWidth="1"/>
  </cols>
  <sheetData>
    <row r="1" spans="1:10" ht="40.049999999999997" customHeight="1" x14ac:dyDescent="0.3">
      <c r="A1" s="37" t="s">
        <v>254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30" customHeight="1" x14ac:dyDescent="0.3">
      <c r="A2" s="40" t="s">
        <v>0</v>
      </c>
      <c r="B2" s="31"/>
      <c r="C2" s="31"/>
      <c r="D2" s="31"/>
      <c r="E2" s="31"/>
      <c r="F2" s="31"/>
      <c r="G2" s="31"/>
      <c r="H2" s="31"/>
      <c r="I2" s="31"/>
      <c r="J2" s="31"/>
    </row>
    <row r="4" spans="1:10" ht="19.95" customHeight="1" x14ac:dyDescent="0.3">
      <c r="A4" s="35" t="s">
        <v>1</v>
      </c>
      <c r="B4" s="31"/>
      <c r="C4" s="35" t="s">
        <v>2</v>
      </c>
      <c r="D4" s="31"/>
      <c r="E4" s="35" t="s">
        <v>3</v>
      </c>
      <c r="F4" s="31"/>
      <c r="G4" s="35" t="s">
        <v>4</v>
      </c>
      <c r="H4" s="31"/>
      <c r="I4" s="35" t="s">
        <v>5</v>
      </c>
      <c r="J4" s="31"/>
    </row>
    <row r="5" spans="1:10" ht="30" customHeight="1" x14ac:dyDescent="0.3">
      <c r="A5" s="38" t="s">
        <v>6</v>
      </c>
      <c r="B5" s="31"/>
      <c r="C5" s="32" t="s">
        <v>7</v>
      </c>
      <c r="D5" s="31"/>
      <c r="E5" s="33" t="s">
        <v>8</v>
      </c>
      <c r="F5" s="31"/>
      <c r="G5" s="39" t="s">
        <v>9</v>
      </c>
      <c r="H5" s="31"/>
      <c r="I5" s="38" t="s">
        <v>10</v>
      </c>
      <c r="J5" s="31"/>
    </row>
    <row r="6" spans="1:10" ht="19.95" customHeight="1" x14ac:dyDescent="0.3">
      <c r="A6" s="30"/>
      <c r="B6" s="31"/>
      <c r="C6" s="30"/>
      <c r="D6" s="31"/>
      <c r="E6" s="30"/>
      <c r="F6" s="31"/>
      <c r="G6" s="30"/>
      <c r="H6" s="31"/>
      <c r="I6" s="30"/>
      <c r="J6" s="31"/>
    </row>
    <row r="7" spans="1:10" ht="18" customHeight="1" x14ac:dyDescent="0.3">
      <c r="A7" s="36" t="s">
        <v>11</v>
      </c>
      <c r="B7" s="31"/>
      <c r="C7" s="36" t="s">
        <v>12</v>
      </c>
      <c r="D7" s="31"/>
      <c r="E7" s="36" t="s">
        <v>13</v>
      </c>
      <c r="F7" s="31"/>
      <c r="G7" s="36" t="s">
        <v>14</v>
      </c>
      <c r="H7" s="31"/>
      <c r="I7" s="36" t="s">
        <v>15</v>
      </c>
      <c r="J7" s="31"/>
    </row>
    <row r="8" spans="1:10" ht="16.05" customHeight="1" x14ac:dyDescent="0.3"/>
    <row r="9" spans="1:10" ht="10.050000000000001" customHeight="1" x14ac:dyDescent="0.3"/>
    <row r="10" spans="1:10" ht="22.05" customHeight="1" x14ac:dyDescent="0.3">
      <c r="A10" s="34" t="s">
        <v>16</v>
      </c>
      <c r="B10" s="31"/>
      <c r="C10" s="31"/>
      <c r="D10" s="31"/>
      <c r="E10" s="31"/>
      <c r="F10" s="31"/>
      <c r="G10" s="31"/>
      <c r="H10" s="31"/>
      <c r="I10" s="31"/>
      <c r="J10" s="31"/>
    </row>
    <row r="11" spans="1:10" x14ac:dyDescent="0.3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</row>
    <row r="12" spans="1:10" x14ac:dyDescent="0.3">
      <c r="A12" s="2">
        <v>1</v>
      </c>
      <c r="B12" s="3" t="s">
        <v>24</v>
      </c>
      <c r="C12" s="3" t="s">
        <v>25</v>
      </c>
      <c r="D12" s="3">
        <v>312</v>
      </c>
      <c r="E12" s="3">
        <v>187.2</v>
      </c>
      <c r="F12" s="3" t="s">
        <v>26</v>
      </c>
      <c r="G12" s="4" t="s">
        <v>27</v>
      </c>
    </row>
    <row r="13" spans="1:10" x14ac:dyDescent="0.3">
      <c r="A13" s="5">
        <v>2</v>
      </c>
      <c r="B13" s="6" t="s">
        <v>28</v>
      </c>
      <c r="C13" s="6" t="s">
        <v>29</v>
      </c>
      <c r="D13" s="6">
        <v>289</v>
      </c>
      <c r="E13" s="6">
        <v>289</v>
      </c>
      <c r="F13" s="6" t="s">
        <v>30</v>
      </c>
      <c r="G13" s="7" t="s">
        <v>27</v>
      </c>
    </row>
    <row r="14" spans="1:10" x14ac:dyDescent="0.3">
      <c r="A14" s="2">
        <v>3</v>
      </c>
      <c r="B14" s="3" t="s">
        <v>31</v>
      </c>
      <c r="C14" s="3" t="s">
        <v>32</v>
      </c>
      <c r="D14" s="3">
        <v>178</v>
      </c>
      <c r="E14" s="3">
        <v>8.9</v>
      </c>
      <c r="F14" s="3" t="s">
        <v>33</v>
      </c>
      <c r="G14" s="8" t="s">
        <v>34</v>
      </c>
    </row>
    <row r="15" spans="1:10" x14ac:dyDescent="0.3">
      <c r="A15" s="5">
        <v>4</v>
      </c>
      <c r="B15" s="6" t="s">
        <v>35</v>
      </c>
      <c r="C15" s="6" t="s">
        <v>36</v>
      </c>
      <c r="D15" s="6">
        <v>143</v>
      </c>
      <c r="E15" s="6">
        <v>35.75</v>
      </c>
      <c r="F15" s="6" t="s">
        <v>37</v>
      </c>
      <c r="G15" s="9" t="s">
        <v>38</v>
      </c>
    </row>
    <row r="16" spans="1:10" x14ac:dyDescent="0.3">
      <c r="A16" s="2">
        <v>5</v>
      </c>
      <c r="B16" s="3" t="s">
        <v>39</v>
      </c>
      <c r="C16" s="3" t="s">
        <v>40</v>
      </c>
      <c r="D16" s="3">
        <v>112</v>
      </c>
      <c r="E16" s="3">
        <v>112</v>
      </c>
      <c r="F16" s="3" t="s">
        <v>41</v>
      </c>
      <c r="G16" s="8" t="s">
        <v>34</v>
      </c>
    </row>
    <row r="17" spans="1:10" x14ac:dyDescent="0.3">
      <c r="A17" s="5">
        <v>6</v>
      </c>
      <c r="B17" s="6" t="s">
        <v>42</v>
      </c>
      <c r="C17" s="6" t="s">
        <v>43</v>
      </c>
      <c r="D17" s="6">
        <v>87</v>
      </c>
      <c r="E17" s="6">
        <v>8.6999999999999993</v>
      </c>
      <c r="F17" s="6" t="s">
        <v>44</v>
      </c>
      <c r="G17" s="7" t="s">
        <v>27</v>
      </c>
    </row>
    <row r="18" spans="1:10" x14ac:dyDescent="0.3">
      <c r="A18" s="2">
        <v>7</v>
      </c>
      <c r="B18" s="3" t="s">
        <v>45</v>
      </c>
      <c r="C18" s="3" t="s">
        <v>46</v>
      </c>
      <c r="D18" s="3">
        <v>56</v>
      </c>
      <c r="E18" s="3">
        <v>7.84</v>
      </c>
      <c r="F18" s="3" t="s">
        <v>47</v>
      </c>
      <c r="G18" s="10" t="s">
        <v>38</v>
      </c>
    </row>
    <row r="19" spans="1:10" x14ac:dyDescent="0.3">
      <c r="A19" s="5">
        <v>8</v>
      </c>
      <c r="B19" s="6" t="s">
        <v>48</v>
      </c>
      <c r="C19" s="6" t="s">
        <v>49</v>
      </c>
      <c r="D19" s="6">
        <v>34</v>
      </c>
      <c r="E19" s="6">
        <v>1.53</v>
      </c>
      <c r="F19" s="6" t="s">
        <v>50</v>
      </c>
      <c r="G19" s="11" t="s">
        <v>34</v>
      </c>
    </row>
    <row r="20" spans="1:10" x14ac:dyDescent="0.3">
      <c r="A20" s="2">
        <v>9</v>
      </c>
      <c r="B20" s="3" t="s">
        <v>51</v>
      </c>
      <c r="C20" s="3" t="s">
        <v>52</v>
      </c>
      <c r="D20" s="3">
        <v>23</v>
      </c>
      <c r="E20" s="3">
        <v>2.2999999999999998</v>
      </c>
      <c r="F20" s="3" t="s">
        <v>53</v>
      </c>
      <c r="G20" s="4" t="s">
        <v>27</v>
      </c>
    </row>
    <row r="21" spans="1:10" x14ac:dyDescent="0.3">
      <c r="A21" s="5">
        <v>10</v>
      </c>
      <c r="B21" s="6" t="s">
        <v>54</v>
      </c>
      <c r="C21" s="6" t="s">
        <v>55</v>
      </c>
      <c r="D21" s="6">
        <v>14</v>
      </c>
      <c r="E21" s="6">
        <v>7</v>
      </c>
      <c r="F21" s="6" t="s">
        <v>56</v>
      </c>
      <c r="G21" s="9" t="s">
        <v>38</v>
      </c>
    </row>
    <row r="24" spans="1:10" ht="10.050000000000001" customHeight="1" x14ac:dyDescent="0.3"/>
    <row r="25" spans="1:10" ht="15.6" x14ac:dyDescent="0.3">
      <c r="A25" s="34" t="s">
        <v>57</v>
      </c>
      <c r="B25" s="31"/>
      <c r="C25" s="31"/>
      <c r="D25" s="31"/>
      <c r="E25" s="31"/>
      <c r="F25" s="31"/>
      <c r="G25" s="31"/>
      <c r="H25" s="31"/>
      <c r="I25" s="31"/>
      <c r="J25" s="31"/>
    </row>
    <row r="26" spans="1:10" x14ac:dyDescent="0.3">
      <c r="A26" s="1" t="s">
        <v>58</v>
      </c>
      <c r="B26" s="1" t="s">
        <v>59</v>
      </c>
      <c r="C26" s="1" t="s">
        <v>60</v>
      </c>
      <c r="D26" s="1" t="s">
        <v>61</v>
      </c>
      <c r="E26" s="1" t="s">
        <v>62</v>
      </c>
      <c r="F26" s="1" t="s">
        <v>63</v>
      </c>
      <c r="G26" s="1" t="s">
        <v>64</v>
      </c>
      <c r="H26" s="1" t="s">
        <v>65</v>
      </c>
      <c r="I26" s="1" t="s">
        <v>66</v>
      </c>
    </row>
    <row r="27" spans="1:10" x14ac:dyDescent="0.3">
      <c r="A27" s="11" t="s">
        <v>67</v>
      </c>
      <c r="B27" s="6">
        <v>145</v>
      </c>
      <c r="C27" s="6">
        <v>162</v>
      </c>
      <c r="D27" s="6">
        <v>178</v>
      </c>
      <c r="E27" s="6">
        <v>195</v>
      </c>
      <c r="F27" s="6">
        <v>210</v>
      </c>
      <c r="G27" s="6">
        <v>248</v>
      </c>
      <c r="H27" s="6">
        <v>110</v>
      </c>
      <c r="I27" s="7">
        <f>SUM(B27:H27)</f>
        <v>1248</v>
      </c>
    </row>
  </sheetData>
  <mergeCells count="24">
    <mergeCell ref="A25:J25"/>
    <mergeCell ref="A4:B4"/>
    <mergeCell ref="G4:H4"/>
    <mergeCell ref="I4:J4"/>
    <mergeCell ref="C7:D7"/>
    <mergeCell ref="E7:F7"/>
    <mergeCell ref="A1:J1"/>
    <mergeCell ref="E6:F6"/>
    <mergeCell ref="A5:B5"/>
    <mergeCell ref="G5:H5"/>
    <mergeCell ref="I5:J5"/>
    <mergeCell ref="A2:J2"/>
    <mergeCell ref="C4:D4"/>
    <mergeCell ref="E4:F4"/>
    <mergeCell ref="A7:B7"/>
    <mergeCell ref="G7:H7"/>
    <mergeCell ref="I7:J7"/>
    <mergeCell ref="G6:H6"/>
    <mergeCell ref="C6:D6"/>
    <mergeCell ref="I6:J6"/>
    <mergeCell ref="C5:D5"/>
    <mergeCell ref="E5:F5"/>
    <mergeCell ref="A10:J10"/>
    <mergeCell ref="A6:B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showGridLines="0" topLeftCell="A29" workbookViewId="0">
      <selection sqref="A1:L1"/>
    </sheetView>
  </sheetViews>
  <sheetFormatPr defaultRowHeight="14.4" x14ac:dyDescent="0.3"/>
  <cols>
    <col min="1" max="1" width="9" customWidth="1"/>
    <col min="2" max="2" width="24" customWidth="1"/>
    <col min="3" max="3" width="12" customWidth="1"/>
    <col min="4" max="4" width="14" customWidth="1"/>
    <col min="5" max="5" width="15" customWidth="1"/>
    <col min="6" max="6" width="14" customWidth="1"/>
    <col min="7" max="7" width="10" customWidth="1"/>
    <col min="8" max="8" width="14" customWidth="1"/>
    <col min="9" max="9" width="12" customWidth="1"/>
    <col min="10" max="10" width="16" customWidth="1"/>
    <col min="11" max="11" width="14" customWidth="1"/>
    <col min="12" max="12" width="18" customWidth="1"/>
  </cols>
  <sheetData>
    <row r="1" spans="1:12" ht="34.950000000000003" customHeight="1" x14ac:dyDescent="0.3">
      <c r="A1" s="42" t="s">
        <v>255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3">
      <c r="A2" s="12" t="s">
        <v>68</v>
      </c>
      <c r="B2" s="12" t="s">
        <v>18</v>
      </c>
      <c r="C2" s="12" t="s">
        <v>69</v>
      </c>
      <c r="D2" s="12" t="s">
        <v>70</v>
      </c>
      <c r="E2" s="12" t="s">
        <v>71</v>
      </c>
      <c r="F2" s="12" t="s">
        <v>72</v>
      </c>
      <c r="G2" s="12" t="s">
        <v>73</v>
      </c>
      <c r="H2" s="12" t="s">
        <v>74</v>
      </c>
      <c r="I2" s="12" t="s">
        <v>75</v>
      </c>
      <c r="J2" s="12" t="s">
        <v>76</v>
      </c>
      <c r="K2" s="12" t="s">
        <v>77</v>
      </c>
      <c r="L2" s="12" t="s">
        <v>78</v>
      </c>
    </row>
    <row r="3" spans="1:12" x14ac:dyDescent="0.3">
      <c r="A3" s="3" t="s">
        <v>25</v>
      </c>
      <c r="B3" s="3" t="s">
        <v>24</v>
      </c>
      <c r="C3" s="3" t="s">
        <v>79</v>
      </c>
      <c r="D3" s="3">
        <v>0.5</v>
      </c>
      <c r="E3" s="3">
        <v>8.4</v>
      </c>
      <c r="F3" s="3">
        <v>30</v>
      </c>
      <c r="G3" s="13">
        <f t="shared" ref="G3:G14" si="0">IF(F3=0,"-",(E3/F3))</f>
        <v>0.28000000000000003</v>
      </c>
      <c r="H3" s="3" t="s">
        <v>80</v>
      </c>
      <c r="I3" s="3" t="s">
        <v>81</v>
      </c>
      <c r="J3" s="4" t="s">
        <v>82</v>
      </c>
      <c r="K3" s="3" t="s">
        <v>83</v>
      </c>
      <c r="L3" s="3"/>
    </row>
    <row r="4" spans="1:12" x14ac:dyDescent="0.3">
      <c r="A4" s="6" t="s">
        <v>29</v>
      </c>
      <c r="B4" s="6" t="s">
        <v>28</v>
      </c>
      <c r="C4" s="6" t="s">
        <v>79</v>
      </c>
      <c r="D4" s="6">
        <v>0.3</v>
      </c>
      <c r="E4" s="6">
        <v>5</v>
      </c>
      <c r="F4" s="6">
        <v>25</v>
      </c>
      <c r="G4" s="14">
        <f t="shared" si="0"/>
        <v>0.2</v>
      </c>
      <c r="H4" s="6" t="s">
        <v>84</v>
      </c>
      <c r="I4" s="6" t="s">
        <v>85</v>
      </c>
      <c r="J4" s="9" t="s">
        <v>86</v>
      </c>
      <c r="K4" s="6" t="s">
        <v>87</v>
      </c>
      <c r="L4" s="6" t="s">
        <v>88</v>
      </c>
    </row>
    <row r="5" spans="1:12" x14ac:dyDescent="0.3">
      <c r="A5" s="3" t="s">
        <v>32</v>
      </c>
      <c r="B5" s="3" t="s">
        <v>31</v>
      </c>
      <c r="C5" s="3" t="s">
        <v>89</v>
      </c>
      <c r="D5" s="3">
        <v>0.2</v>
      </c>
      <c r="E5" s="3">
        <v>1.1000000000000001</v>
      </c>
      <c r="F5" s="3">
        <v>5</v>
      </c>
      <c r="G5" s="13">
        <f t="shared" si="0"/>
        <v>0.22000000000000003</v>
      </c>
      <c r="H5" s="3" t="s">
        <v>90</v>
      </c>
      <c r="I5" s="3" t="s">
        <v>91</v>
      </c>
      <c r="J5" s="15" t="s">
        <v>92</v>
      </c>
      <c r="K5" s="3" t="s">
        <v>93</v>
      </c>
      <c r="L5" s="3" t="s">
        <v>94</v>
      </c>
    </row>
    <row r="6" spans="1:12" x14ac:dyDescent="0.3">
      <c r="A6" s="6" t="s">
        <v>36</v>
      </c>
      <c r="B6" s="6" t="s">
        <v>35</v>
      </c>
      <c r="C6" s="6" t="s">
        <v>79</v>
      </c>
      <c r="D6" s="6">
        <v>0.4</v>
      </c>
      <c r="E6" s="6">
        <v>12.5</v>
      </c>
      <c r="F6" s="6">
        <v>20</v>
      </c>
      <c r="G6" s="14">
        <f t="shared" si="0"/>
        <v>0.625</v>
      </c>
      <c r="H6" s="6" t="s">
        <v>95</v>
      </c>
      <c r="I6" s="6" t="s">
        <v>81</v>
      </c>
      <c r="J6" s="7" t="s">
        <v>82</v>
      </c>
      <c r="K6" s="6" t="s">
        <v>96</v>
      </c>
      <c r="L6" s="6"/>
    </row>
    <row r="7" spans="1:12" x14ac:dyDescent="0.3">
      <c r="A7" s="3" t="s">
        <v>40</v>
      </c>
      <c r="B7" s="3" t="s">
        <v>39</v>
      </c>
      <c r="C7" s="3" t="s">
        <v>97</v>
      </c>
      <c r="D7" s="3">
        <v>0.3</v>
      </c>
      <c r="E7" s="3">
        <v>18</v>
      </c>
      <c r="F7" s="3">
        <v>24</v>
      </c>
      <c r="G7" s="13">
        <f t="shared" si="0"/>
        <v>0.75</v>
      </c>
      <c r="H7" s="3" t="s">
        <v>98</v>
      </c>
      <c r="I7" s="3" t="s">
        <v>91</v>
      </c>
      <c r="J7" s="4" t="s">
        <v>82</v>
      </c>
      <c r="K7" s="3" t="s">
        <v>99</v>
      </c>
      <c r="L7" s="3"/>
    </row>
    <row r="8" spans="1:12" x14ac:dyDescent="0.3">
      <c r="A8" s="6" t="s">
        <v>43</v>
      </c>
      <c r="B8" s="6" t="s">
        <v>42</v>
      </c>
      <c r="C8" s="6" t="s">
        <v>89</v>
      </c>
      <c r="D8" s="6">
        <v>0.2</v>
      </c>
      <c r="E8" s="6">
        <v>0.8</v>
      </c>
      <c r="F8" s="6">
        <v>8</v>
      </c>
      <c r="G8" s="14">
        <f t="shared" si="0"/>
        <v>0.1</v>
      </c>
      <c r="H8" s="6" t="s">
        <v>100</v>
      </c>
      <c r="I8" s="6" t="s">
        <v>101</v>
      </c>
      <c r="J8" s="9" t="s">
        <v>86</v>
      </c>
      <c r="K8" s="6" t="s">
        <v>102</v>
      </c>
      <c r="L8" s="6" t="s">
        <v>103</v>
      </c>
    </row>
    <row r="9" spans="1:12" x14ac:dyDescent="0.3">
      <c r="A9" s="3" t="s">
        <v>46</v>
      </c>
      <c r="B9" s="3" t="s">
        <v>45</v>
      </c>
      <c r="C9" s="3" t="s">
        <v>104</v>
      </c>
      <c r="D9" s="3">
        <v>0.3</v>
      </c>
      <c r="E9" s="3">
        <v>4.2</v>
      </c>
      <c r="F9" s="3">
        <v>14</v>
      </c>
      <c r="G9" s="13">
        <f t="shared" si="0"/>
        <v>0.3</v>
      </c>
      <c r="H9" s="3" t="s">
        <v>105</v>
      </c>
      <c r="I9" s="3" t="s">
        <v>81</v>
      </c>
      <c r="J9" s="4" t="s">
        <v>82</v>
      </c>
      <c r="K9" s="3" t="s">
        <v>106</v>
      </c>
      <c r="L9" s="3"/>
    </row>
    <row r="10" spans="1:12" x14ac:dyDescent="0.3">
      <c r="A10" s="6" t="s">
        <v>49</v>
      </c>
      <c r="B10" s="6" t="s">
        <v>48</v>
      </c>
      <c r="C10" s="6" t="s">
        <v>89</v>
      </c>
      <c r="D10" s="6">
        <v>0.1</v>
      </c>
      <c r="E10" s="6">
        <v>6.3</v>
      </c>
      <c r="F10" s="6">
        <v>9</v>
      </c>
      <c r="G10" s="14">
        <f t="shared" si="0"/>
        <v>0.7</v>
      </c>
      <c r="H10" s="6" t="s">
        <v>107</v>
      </c>
      <c r="I10" s="6" t="s">
        <v>101</v>
      </c>
      <c r="J10" s="7" t="s">
        <v>82</v>
      </c>
      <c r="K10" s="6" t="s">
        <v>108</v>
      </c>
      <c r="L10" s="6"/>
    </row>
    <row r="11" spans="1:12" x14ac:dyDescent="0.3">
      <c r="A11" s="3" t="s">
        <v>52</v>
      </c>
      <c r="B11" s="3" t="s">
        <v>51</v>
      </c>
      <c r="C11" s="3" t="s">
        <v>109</v>
      </c>
      <c r="D11" s="3">
        <v>0.2</v>
      </c>
      <c r="E11" s="3">
        <v>2</v>
      </c>
      <c r="F11" s="3">
        <v>10</v>
      </c>
      <c r="G11" s="13">
        <f t="shared" si="0"/>
        <v>0.2</v>
      </c>
      <c r="H11" s="3" t="s">
        <v>110</v>
      </c>
      <c r="I11" s="3" t="s">
        <v>81</v>
      </c>
      <c r="J11" s="15" t="s">
        <v>92</v>
      </c>
      <c r="K11" s="3" t="s">
        <v>111</v>
      </c>
      <c r="L11" s="3"/>
    </row>
    <row r="12" spans="1:12" x14ac:dyDescent="0.3">
      <c r="A12" s="6" t="s">
        <v>55</v>
      </c>
      <c r="B12" s="6" t="s">
        <v>54</v>
      </c>
      <c r="C12" s="6" t="s">
        <v>79</v>
      </c>
      <c r="D12" s="6">
        <v>0.3</v>
      </c>
      <c r="E12" s="6">
        <v>7.5</v>
      </c>
      <c r="F12" s="6">
        <v>15</v>
      </c>
      <c r="G12" s="14">
        <f t="shared" si="0"/>
        <v>0.5</v>
      </c>
      <c r="H12" s="6" t="s">
        <v>112</v>
      </c>
      <c r="I12" s="6" t="s">
        <v>91</v>
      </c>
      <c r="J12" s="7" t="s">
        <v>82</v>
      </c>
      <c r="K12" s="6" t="s">
        <v>113</v>
      </c>
      <c r="L12" s="6"/>
    </row>
    <row r="13" spans="1:12" x14ac:dyDescent="0.3">
      <c r="A13" s="3" t="s">
        <v>114</v>
      </c>
      <c r="B13" s="3" t="s">
        <v>115</v>
      </c>
      <c r="C13" s="3" t="s">
        <v>109</v>
      </c>
      <c r="D13" s="3">
        <v>0.3</v>
      </c>
      <c r="E13" s="3">
        <v>4</v>
      </c>
      <c r="F13" s="3">
        <v>10</v>
      </c>
      <c r="G13" s="13">
        <f t="shared" si="0"/>
        <v>0.4</v>
      </c>
      <c r="H13" s="3" t="s">
        <v>100</v>
      </c>
      <c r="I13" s="3" t="s">
        <v>81</v>
      </c>
      <c r="J13" s="4" t="s">
        <v>82</v>
      </c>
      <c r="K13" s="3" t="s">
        <v>116</v>
      </c>
      <c r="L13" s="3"/>
    </row>
    <row r="14" spans="1:12" x14ac:dyDescent="0.3">
      <c r="A14" s="6" t="s">
        <v>117</v>
      </c>
      <c r="B14" s="6" t="s">
        <v>118</v>
      </c>
      <c r="C14" s="6" t="s">
        <v>119</v>
      </c>
      <c r="D14" s="6">
        <v>0.1</v>
      </c>
      <c r="E14" s="6">
        <v>0.5</v>
      </c>
      <c r="F14" s="6">
        <v>5</v>
      </c>
      <c r="G14" s="14">
        <f t="shared" si="0"/>
        <v>0.1</v>
      </c>
      <c r="H14" s="6" t="s">
        <v>95</v>
      </c>
      <c r="I14" s="6" t="s">
        <v>101</v>
      </c>
      <c r="J14" s="9" t="s">
        <v>86</v>
      </c>
      <c r="K14" s="6" t="s">
        <v>120</v>
      </c>
      <c r="L14" s="6" t="s">
        <v>121</v>
      </c>
    </row>
    <row r="17" spans="1:5" x14ac:dyDescent="0.3">
      <c r="A17" s="41" t="s">
        <v>122</v>
      </c>
      <c r="B17" s="31"/>
      <c r="C17" s="31"/>
      <c r="D17" s="31"/>
      <c r="E17" s="31"/>
    </row>
    <row r="18" spans="1:5" x14ac:dyDescent="0.3">
      <c r="A18" t="s">
        <v>69</v>
      </c>
      <c r="B18" t="s">
        <v>123</v>
      </c>
    </row>
    <row r="19" spans="1:5" x14ac:dyDescent="0.3">
      <c r="A19" t="s">
        <v>79</v>
      </c>
      <c r="B19">
        <v>33.4</v>
      </c>
    </row>
    <row r="20" spans="1:5" x14ac:dyDescent="0.3">
      <c r="A20" t="s">
        <v>89</v>
      </c>
      <c r="B20">
        <v>8.1999999999999993</v>
      </c>
    </row>
    <row r="21" spans="1:5" x14ac:dyDescent="0.3">
      <c r="A21" t="s">
        <v>97</v>
      </c>
      <c r="B21">
        <v>18</v>
      </c>
    </row>
    <row r="22" spans="1:5" x14ac:dyDescent="0.3">
      <c r="A22" t="s">
        <v>104</v>
      </c>
      <c r="B22">
        <v>4.2</v>
      </c>
    </row>
    <row r="23" spans="1:5" x14ac:dyDescent="0.3">
      <c r="A23" t="s">
        <v>109</v>
      </c>
      <c r="B23">
        <v>6</v>
      </c>
    </row>
    <row r="24" spans="1:5" x14ac:dyDescent="0.3">
      <c r="A24" t="s">
        <v>119</v>
      </c>
      <c r="B24">
        <v>0.5</v>
      </c>
    </row>
  </sheetData>
  <mergeCells count="2">
    <mergeCell ref="A17:E17"/>
    <mergeCell ref="A1:L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workbookViewId="0">
      <selection activeCell="I15" sqref="I15"/>
    </sheetView>
  </sheetViews>
  <sheetFormatPr defaultRowHeight="14.4" x14ac:dyDescent="0.3"/>
  <cols>
    <col min="1" max="1" width="10" customWidth="1"/>
    <col min="2" max="2" width="8" customWidth="1"/>
    <col min="3" max="3" width="9" customWidth="1"/>
    <col min="4" max="4" width="24" customWidth="1"/>
    <col min="5" max="5" width="12" customWidth="1"/>
    <col min="6" max="6" width="14" customWidth="1"/>
    <col min="7" max="7" width="12" customWidth="1"/>
    <col min="8" max="8" width="14" customWidth="1"/>
    <col min="9" max="9" width="22" customWidth="1"/>
    <col min="10" max="10" width="18" customWidth="1"/>
  </cols>
  <sheetData>
    <row r="1" spans="1:10" ht="34.950000000000003" customHeight="1" x14ac:dyDescent="0.3">
      <c r="A1" s="42" t="s">
        <v>256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3">
      <c r="A2" s="12" t="s">
        <v>124</v>
      </c>
      <c r="B2" s="12" t="s">
        <v>125</v>
      </c>
      <c r="C2" s="12" t="s">
        <v>19</v>
      </c>
      <c r="D2" s="12" t="s">
        <v>18</v>
      </c>
      <c r="E2" s="12" t="s">
        <v>126</v>
      </c>
      <c r="F2" s="12" t="s">
        <v>127</v>
      </c>
      <c r="G2" s="12" t="s">
        <v>128</v>
      </c>
      <c r="H2" s="12" t="s">
        <v>129</v>
      </c>
      <c r="I2" s="12" t="s">
        <v>130</v>
      </c>
      <c r="J2" s="12" t="s">
        <v>131</v>
      </c>
    </row>
    <row r="3" spans="1:10" x14ac:dyDescent="0.3">
      <c r="A3" s="3" t="s">
        <v>132</v>
      </c>
      <c r="B3" s="3" t="s">
        <v>133</v>
      </c>
      <c r="C3" s="3" t="s">
        <v>25</v>
      </c>
      <c r="D3" s="3" t="s">
        <v>24</v>
      </c>
      <c r="E3" s="16" t="s">
        <v>134</v>
      </c>
      <c r="F3" s="17">
        <v>-1.2</v>
      </c>
      <c r="G3" s="3">
        <v>-2</v>
      </c>
      <c r="H3" s="3">
        <v>28.8</v>
      </c>
      <c r="I3" s="3" t="s">
        <v>135</v>
      </c>
      <c r="J3" s="3" t="s">
        <v>136</v>
      </c>
    </row>
    <row r="4" spans="1:10" x14ac:dyDescent="0.3">
      <c r="A4" s="6" t="s">
        <v>132</v>
      </c>
      <c r="B4" s="6" t="s">
        <v>137</v>
      </c>
      <c r="C4" s="6" t="s">
        <v>29</v>
      </c>
      <c r="D4" s="6" t="s">
        <v>28</v>
      </c>
      <c r="E4" s="7" t="s">
        <v>138</v>
      </c>
      <c r="F4" s="18">
        <v>20</v>
      </c>
      <c r="G4" s="6">
        <v>20</v>
      </c>
      <c r="H4" s="6">
        <v>25</v>
      </c>
      <c r="I4" s="6" t="s">
        <v>139</v>
      </c>
      <c r="J4" s="6" t="s">
        <v>140</v>
      </c>
    </row>
    <row r="5" spans="1:10" x14ac:dyDescent="0.3">
      <c r="A5" s="3" t="s">
        <v>132</v>
      </c>
      <c r="B5" s="3" t="s">
        <v>141</v>
      </c>
      <c r="C5" s="3" t="s">
        <v>32</v>
      </c>
      <c r="D5" s="3" t="s">
        <v>31</v>
      </c>
      <c r="E5" s="16" t="s">
        <v>134</v>
      </c>
      <c r="F5" s="17">
        <v>-0.5</v>
      </c>
      <c r="G5" s="3">
        <v>-10</v>
      </c>
      <c r="H5" s="3">
        <v>4.5</v>
      </c>
      <c r="I5" s="3" t="s">
        <v>135</v>
      </c>
      <c r="J5" s="3" t="s">
        <v>136</v>
      </c>
    </row>
    <row r="6" spans="1:10" x14ac:dyDescent="0.3">
      <c r="A6" s="6" t="s">
        <v>132</v>
      </c>
      <c r="B6" s="6" t="s">
        <v>142</v>
      </c>
      <c r="C6" s="6" t="s">
        <v>43</v>
      </c>
      <c r="D6" s="6" t="s">
        <v>143</v>
      </c>
      <c r="E6" s="19" t="s">
        <v>134</v>
      </c>
      <c r="F6" s="20">
        <v>-0.3</v>
      </c>
      <c r="G6" s="6">
        <v>-3</v>
      </c>
      <c r="H6" s="6">
        <v>7.7</v>
      </c>
      <c r="I6" s="6" t="s">
        <v>135</v>
      </c>
      <c r="J6" s="6" t="s">
        <v>136</v>
      </c>
    </row>
    <row r="7" spans="1:10" x14ac:dyDescent="0.3">
      <c r="A7" s="3" t="s">
        <v>132</v>
      </c>
      <c r="B7" s="3" t="s">
        <v>144</v>
      </c>
      <c r="C7" s="3" t="s">
        <v>25</v>
      </c>
      <c r="D7" s="3" t="s">
        <v>24</v>
      </c>
      <c r="E7" s="16" t="s">
        <v>134</v>
      </c>
      <c r="F7" s="17">
        <v>-3</v>
      </c>
      <c r="G7" s="3">
        <v>-5</v>
      </c>
      <c r="H7" s="3">
        <v>25.8</v>
      </c>
      <c r="I7" s="3" t="s">
        <v>135</v>
      </c>
      <c r="J7" s="3" t="s">
        <v>136</v>
      </c>
    </row>
    <row r="8" spans="1:10" x14ac:dyDescent="0.3">
      <c r="A8" s="6" t="s">
        <v>132</v>
      </c>
      <c r="B8" s="6" t="s">
        <v>145</v>
      </c>
      <c r="C8" s="6" t="s">
        <v>117</v>
      </c>
      <c r="D8" s="6" t="s">
        <v>118</v>
      </c>
      <c r="E8" s="21" t="s">
        <v>146</v>
      </c>
      <c r="F8" s="20">
        <v>-2</v>
      </c>
      <c r="G8" s="6">
        <v>-200</v>
      </c>
      <c r="H8" s="6">
        <v>0.5</v>
      </c>
      <c r="I8" s="6" t="s">
        <v>199</v>
      </c>
      <c r="J8" s="6" t="s">
        <v>136</v>
      </c>
    </row>
    <row r="9" spans="1:10" x14ac:dyDescent="0.3">
      <c r="A9" s="3" t="s">
        <v>147</v>
      </c>
      <c r="B9" s="3" t="s">
        <v>106</v>
      </c>
      <c r="C9" s="3" t="s">
        <v>40</v>
      </c>
      <c r="D9" s="3" t="s">
        <v>39</v>
      </c>
      <c r="E9" s="4" t="s">
        <v>138</v>
      </c>
      <c r="F9" s="22">
        <v>12</v>
      </c>
      <c r="G9" s="3">
        <v>12</v>
      </c>
      <c r="H9" s="3">
        <v>24</v>
      </c>
      <c r="I9" s="3" t="s">
        <v>139</v>
      </c>
      <c r="J9" s="3" t="s">
        <v>140</v>
      </c>
    </row>
    <row r="10" spans="1:10" x14ac:dyDescent="0.3">
      <c r="A10" s="6" t="s">
        <v>147</v>
      </c>
      <c r="B10" s="6" t="s">
        <v>148</v>
      </c>
      <c r="C10" s="6" t="s">
        <v>46</v>
      </c>
      <c r="D10" s="6" t="s">
        <v>45</v>
      </c>
      <c r="E10" s="19" t="s">
        <v>134</v>
      </c>
      <c r="F10" s="20">
        <v>-0.28000000000000003</v>
      </c>
      <c r="G10" s="6">
        <v>-2</v>
      </c>
      <c r="H10" s="6">
        <v>13.72</v>
      </c>
      <c r="I10" s="6" t="s">
        <v>135</v>
      </c>
      <c r="J10" s="6" t="s">
        <v>136</v>
      </c>
    </row>
    <row r="11" spans="1:10" x14ac:dyDescent="0.3">
      <c r="A11" s="3" t="s">
        <v>147</v>
      </c>
      <c r="B11" s="3" t="s">
        <v>149</v>
      </c>
      <c r="C11" s="3" t="s">
        <v>52</v>
      </c>
      <c r="D11" s="3" t="s">
        <v>51</v>
      </c>
      <c r="E11" s="16" t="s">
        <v>134</v>
      </c>
      <c r="F11" s="17">
        <v>-0.2</v>
      </c>
      <c r="G11" s="3">
        <v>-2</v>
      </c>
      <c r="H11" s="3">
        <v>9.8000000000000007</v>
      </c>
      <c r="I11" s="3" t="s">
        <v>135</v>
      </c>
      <c r="J11" s="3" t="s">
        <v>136</v>
      </c>
    </row>
    <row r="12" spans="1:10" x14ac:dyDescent="0.3">
      <c r="A12" s="6" t="s">
        <v>147</v>
      </c>
      <c r="B12" s="6" t="s">
        <v>150</v>
      </c>
      <c r="C12" s="6" t="s">
        <v>32</v>
      </c>
      <c r="D12" s="6" t="s">
        <v>31</v>
      </c>
      <c r="E12" s="9" t="s">
        <v>151</v>
      </c>
      <c r="F12" s="20">
        <v>-1.5</v>
      </c>
      <c r="G12" s="6">
        <v>-30</v>
      </c>
      <c r="H12" s="6">
        <v>3</v>
      </c>
      <c r="I12" s="47" t="s">
        <v>257</v>
      </c>
      <c r="J12" s="6" t="s">
        <v>136</v>
      </c>
    </row>
    <row r="13" spans="1:10" x14ac:dyDescent="0.3">
      <c r="A13" s="3" t="s">
        <v>152</v>
      </c>
      <c r="B13" s="3" t="s">
        <v>153</v>
      </c>
      <c r="C13" s="3" t="s">
        <v>114</v>
      </c>
      <c r="D13" s="3" t="s">
        <v>115</v>
      </c>
      <c r="E13" s="4" t="s">
        <v>138</v>
      </c>
      <c r="F13" s="22">
        <v>5</v>
      </c>
      <c r="G13" s="3">
        <v>10</v>
      </c>
      <c r="H13" s="3">
        <v>10</v>
      </c>
      <c r="I13" s="3" t="s">
        <v>139</v>
      </c>
      <c r="J13" s="3" t="s">
        <v>140</v>
      </c>
    </row>
    <row r="14" spans="1:10" x14ac:dyDescent="0.3">
      <c r="A14" s="6" t="s">
        <v>152</v>
      </c>
      <c r="B14" s="6" t="s">
        <v>154</v>
      </c>
      <c r="C14" s="6" t="s">
        <v>36</v>
      </c>
      <c r="D14" s="6" t="s">
        <v>35</v>
      </c>
      <c r="E14" s="19" t="s">
        <v>134</v>
      </c>
      <c r="F14" s="20">
        <v>-1</v>
      </c>
      <c r="G14" s="6">
        <v>-4</v>
      </c>
      <c r="H14" s="6">
        <v>19</v>
      </c>
      <c r="I14" s="6" t="s">
        <v>135</v>
      </c>
      <c r="J14" s="6" t="s">
        <v>136</v>
      </c>
    </row>
    <row r="15" spans="1:10" x14ac:dyDescent="0.3">
      <c r="A15" s="3" t="s">
        <v>155</v>
      </c>
      <c r="B15" s="3" t="s">
        <v>156</v>
      </c>
      <c r="C15" s="3" t="s">
        <v>49</v>
      </c>
      <c r="D15" s="3" t="s">
        <v>157</v>
      </c>
      <c r="E15" s="10" t="s">
        <v>158</v>
      </c>
      <c r="F15" s="22">
        <v>1.5</v>
      </c>
      <c r="G15" s="3">
        <v>0</v>
      </c>
      <c r="H15" s="3">
        <v>7.5</v>
      </c>
      <c r="I15" s="48" t="s">
        <v>258</v>
      </c>
      <c r="J15" s="3" t="s">
        <v>136</v>
      </c>
    </row>
    <row r="16" spans="1:10" x14ac:dyDescent="0.3">
      <c r="A16" s="6" t="s">
        <v>159</v>
      </c>
      <c r="B16" s="6" t="s">
        <v>160</v>
      </c>
      <c r="C16" s="6" t="s">
        <v>29</v>
      </c>
      <c r="D16" s="6" t="s">
        <v>28</v>
      </c>
      <c r="E16" s="19" t="s">
        <v>134</v>
      </c>
      <c r="F16" s="20">
        <v>-5</v>
      </c>
      <c r="G16" s="6">
        <v>-5</v>
      </c>
      <c r="H16" s="6">
        <v>20</v>
      </c>
      <c r="I16" s="6" t="s">
        <v>135</v>
      </c>
      <c r="J16" s="6" t="s">
        <v>136</v>
      </c>
    </row>
    <row r="17" spans="1:10" x14ac:dyDescent="0.3">
      <c r="A17" s="3" t="s">
        <v>161</v>
      </c>
      <c r="B17" s="3" t="s">
        <v>162</v>
      </c>
      <c r="C17" s="3" t="s">
        <v>43</v>
      </c>
      <c r="D17" s="3" t="s">
        <v>143</v>
      </c>
      <c r="E17" s="4" t="s">
        <v>138</v>
      </c>
      <c r="F17" s="22">
        <v>8</v>
      </c>
      <c r="G17" s="3">
        <v>80</v>
      </c>
      <c r="H17" s="3">
        <v>8</v>
      </c>
      <c r="I17" s="3" t="s">
        <v>139</v>
      </c>
      <c r="J17" s="3" t="s">
        <v>163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showGridLines="0" workbookViewId="0">
      <selection sqref="A1:I1"/>
    </sheetView>
  </sheetViews>
  <sheetFormatPr defaultRowHeight="14.4" x14ac:dyDescent="0.3"/>
  <cols>
    <col min="1" max="1" width="10" customWidth="1"/>
    <col min="2" max="2" width="8" customWidth="1"/>
    <col min="3" max="3" width="9" customWidth="1"/>
    <col min="4" max="5" width="24" customWidth="1"/>
    <col min="6" max="6" width="12" customWidth="1"/>
    <col min="7" max="7" width="14" customWidth="1"/>
    <col min="8" max="9" width="20" customWidth="1"/>
  </cols>
  <sheetData>
    <row r="1" spans="1:9" ht="34.950000000000003" customHeight="1" x14ac:dyDescent="0.3">
      <c r="A1" s="42" t="s">
        <v>164</v>
      </c>
      <c r="B1" s="31"/>
      <c r="C1" s="31"/>
      <c r="D1" s="31"/>
      <c r="E1" s="31"/>
      <c r="F1" s="31"/>
      <c r="G1" s="31"/>
      <c r="H1" s="31"/>
      <c r="I1" s="31"/>
    </row>
    <row r="3" spans="1:9" ht="18" customHeight="1" x14ac:dyDescent="0.3">
      <c r="A3" s="45" t="s">
        <v>165</v>
      </c>
      <c r="B3" s="31"/>
      <c r="C3" s="45" t="s">
        <v>166</v>
      </c>
      <c r="D3" s="31"/>
      <c r="E3" s="45" t="s">
        <v>167</v>
      </c>
      <c r="F3" s="31"/>
      <c r="G3" s="45" t="s">
        <v>168</v>
      </c>
      <c r="H3" s="31"/>
    </row>
    <row r="4" spans="1:9" ht="30" customHeight="1" x14ac:dyDescent="0.4">
      <c r="A4" s="43" t="s">
        <v>169</v>
      </c>
      <c r="B4" s="31"/>
      <c r="C4" s="44" t="s">
        <v>170</v>
      </c>
      <c r="D4" s="31"/>
      <c r="E4" s="44" t="s">
        <v>171</v>
      </c>
      <c r="F4" s="31"/>
      <c r="G4" s="44" t="s">
        <v>172</v>
      </c>
      <c r="H4" s="31"/>
    </row>
    <row r="5" spans="1:9" ht="16.05" customHeight="1" x14ac:dyDescent="0.3"/>
    <row r="7" spans="1:9" x14ac:dyDescent="0.3">
      <c r="A7" s="12" t="s">
        <v>124</v>
      </c>
      <c r="B7" s="12" t="s">
        <v>125</v>
      </c>
      <c r="C7" s="12" t="s">
        <v>19</v>
      </c>
      <c r="D7" s="12" t="s">
        <v>18</v>
      </c>
      <c r="E7" s="12" t="s">
        <v>173</v>
      </c>
      <c r="F7" s="12" t="s">
        <v>128</v>
      </c>
      <c r="G7" s="12" t="s">
        <v>127</v>
      </c>
      <c r="H7" s="12" t="s">
        <v>174</v>
      </c>
      <c r="I7" s="12" t="s">
        <v>175</v>
      </c>
    </row>
    <row r="8" spans="1:9" x14ac:dyDescent="0.3">
      <c r="A8" s="3" t="s">
        <v>132</v>
      </c>
      <c r="B8" s="3" t="s">
        <v>176</v>
      </c>
      <c r="C8" s="3" t="s">
        <v>25</v>
      </c>
      <c r="D8" s="3" t="s">
        <v>24</v>
      </c>
      <c r="E8" s="8" t="s">
        <v>177</v>
      </c>
      <c r="F8" s="3">
        <v>-3</v>
      </c>
      <c r="G8" s="3">
        <v>-1.8</v>
      </c>
      <c r="H8" s="10" t="s">
        <v>178</v>
      </c>
      <c r="I8" s="3" t="s">
        <v>179</v>
      </c>
    </row>
    <row r="9" spans="1:9" x14ac:dyDescent="0.3">
      <c r="A9" s="6" t="s">
        <v>147</v>
      </c>
      <c r="B9" s="6" t="s">
        <v>149</v>
      </c>
      <c r="C9" s="6" t="s">
        <v>32</v>
      </c>
      <c r="D9" s="6" t="s">
        <v>31</v>
      </c>
      <c r="E9" s="11" t="s">
        <v>180</v>
      </c>
      <c r="F9" s="6">
        <v>-30</v>
      </c>
      <c r="G9" s="6">
        <v>-1.5</v>
      </c>
      <c r="H9" s="9" t="s">
        <v>181</v>
      </c>
      <c r="I9" s="6" t="s">
        <v>182</v>
      </c>
    </row>
    <row r="10" spans="1:9" x14ac:dyDescent="0.3">
      <c r="A10" s="3" t="s">
        <v>152</v>
      </c>
      <c r="B10" s="3" t="s">
        <v>183</v>
      </c>
      <c r="C10" s="3" t="s">
        <v>117</v>
      </c>
      <c r="D10" s="3" t="s">
        <v>118</v>
      </c>
      <c r="E10" s="8" t="s">
        <v>177</v>
      </c>
      <c r="F10" s="3">
        <v>-15</v>
      </c>
      <c r="G10" s="3">
        <v>-0.15</v>
      </c>
      <c r="H10" s="10" t="s">
        <v>178</v>
      </c>
      <c r="I10" s="3" t="s">
        <v>179</v>
      </c>
    </row>
    <row r="11" spans="1:9" x14ac:dyDescent="0.3">
      <c r="A11" s="6" t="s">
        <v>155</v>
      </c>
      <c r="B11" s="6" t="s">
        <v>184</v>
      </c>
      <c r="C11" s="6" t="s">
        <v>49</v>
      </c>
      <c r="D11" s="6" t="s">
        <v>157</v>
      </c>
      <c r="E11" s="11" t="s">
        <v>185</v>
      </c>
      <c r="F11" s="6">
        <v>0</v>
      </c>
      <c r="G11" s="6">
        <v>1.5</v>
      </c>
      <c r="H11" s="7" t="s">
        <v>186</v>
      </c>
      <c r="I11" s="6" t="s">
        <v>187</v>
      </c>
    </row>
    <row r="12" spans="1:9" x14ac:dyDescent="0.3">
      <c r="A12" s="3" t="s">
        <v>159</v>
      </c>
      <c r="B12" s="3" t="s">
        <v>188</v>
      </c>
      <c r="C12" s="3" t="s">
        <v>43</v>
      </c>
      <c r="D12" s="3" t="s">
        <v>42</v>
      </c>
      <c r="E12" s="8" t="s">
        <v>189</v>
      </c>
      <c r="F12" s="3">
        <v>-5</v>
      </c>
      <c r="G12" s="3">
        <v>-0.5</v>
      </c>
      <c r="H12" s="4" t="s">
        <v>190</v>
      </c>
      <c r="I12" s="3" t="s">
        <v>191</v>
      </c>
    </row>
    <row r="13" spans="1:9" x14ac:dyDescent="0.3">
      <c r="A13" s="6" t="s">
        <v>161</v>
      </c>
      <c r="B13" s="6" t="s">
        <v>192</v>
      </c>
      <c r="C13" s="6" t="s">
        <v>29</v>
      </c>
      <c r="D13" s="6" t="s">
        <v>28</v>
      </c>
      <c r="E13" s="11" t="s">
        <v>193</v>
      </c>
      <c r="F13" s="6">
        <v>-2</v>
      </c>
      <c r="G13" s="6">
        <v>-2</v>
      </c>
      <c r="H13" s="7" t="s">
        <v>194</v>
      </c>
      <c r="I13" s="6" t="s">
        <v>195</v>
      </c>
    </row>
    <row r="14" spans="1:9" x14ac:dyDescent="0.3">
      <c r="A14" s="3" t="s">
        <v>196</v>
      </c>
      <c r="B14" s="3" t="s">
        <v>197</v>
      </c>
      <c r="C14" s="3" t="s">
        <v>36</v>
      </c>
      <c r="D14" s="3" t="s">
        <v>35</v>
      </c>
      <c r="E14" s="15" t="s">
        <v>198</v>
      </c>
      <c r="F14" s="3">
        <v>-8</v>
      </c>
      <c r="G14" s="3">
        <v>-2</v>
      </c>
      <c r="H14" s="4" t="s">
        <v>199</v>
      </c>
      <c r="I14" s="3" t="s">
        <v>200</v>
      </c>
    </row>
  </sheetData>
  <mergeCells count="9">
    <mergeCell ref="A4:B4"/>
    <mergeCell ref="G4:H4"/>
    <mergeCell ref="E4:F4"/>
    <mergeCell ref="A1:I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showGridLines="0" topLeftCell="A50" workbookViewId="0">
      <selection activeCell="J14" sqref="J14"/>
    </sheetView>
  </sheetViews>
  <sheetFormatPr defaultRowHeight="14.4" x14ac:dyDescent="0.3"/>
  <cols>
    <col min="1" max="1" width="9" customWidth="1"/>
    <col min="2" max="2" width="26" customWidth="1"/>
    <col min="3" max="3" width="12" customWidth="1"/>
    <col min="4" max="6" width="16" customWidth="1"/>
    <col min="7" max="7" width="10" customWidth="1"/>
    <col min="8" max="8" width="14" customWidth="1"/>
    <col min="9" max="9" width="12" customWidth="1"/>
    <col min="10" max="10" width="20" customWidth="1"/>
  </cols>
  <sheetData>
    <row r="1" spans="1:10" ht="34.950000000000003" customHeight="1" x14ac:dyDescent="0.3">
      <c r="A1" s="42" t="s">
        <v>201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3">
      <c r="A2" s="12" t="s">
        <v>19</v>
      </c>
      <c r="B2" s="12" t="s">
        <v>18</v>
      </c>
      <c r="C2" s="12" t="s">
        <v>69</v>
      </c>
      <c r="D2" s="12" t="s">
        <v>202</v>
      </c>
      <c r="E2" s="12" t="s">
        <v>203</v>
      </c>
      <c r="F2" s="12" t="s">
        <v>204</v>
      </c>
      <c r="G2" s="12" t="s">
        <v>205</v>
      </c>
      <c r="H2" s="12" t="s">
        <v>206</v>
      </c>
      <c r="I2" s="12" t="s">
        <v>207</v>
      </c>
      <c r="J2" s="12" t="s">
        <v>208</v>
      </c>
    </row>
    <row r="3" spans="1:10" x14ac:dyDescent="0.3">
      <c r="A3" s="3" t="s">
        <v>25</v>
      </c>
      <c r="B3" s="3" t="s">
        <v>24</v>
      </c>
      <c r="C3" s="3" t="s">
        <v>79</v>
      </c>
      <c r="D3" s="3">
        <v>2.1</v>
      </c>
      <c r="E3" s="3">
        <v>312</v>
      </c>
      <c r="F3" s="3">
        <v>278</v>
      </c>
      <c r="G3" s="13">
        <f t="shared" ref="G3:G14" si="0">IF(F3=0,"-",(E3-F3)/F3)</f>
        <v>0.1223021582733813</v>
      </c>
      <c r="H3" s="3">
        <v>8.5</v>
      </c>
      <c r="I3" s="23">
        <v>0.35</v>
      </c>
      <c r="J3" s="49" t="s">
        <v>259</v>
      </c>
    </row>
    <row r="4" spans="1:10" x14ac:dyDescent="0.3">
      <c r="A4" s="6" t="s">
        <v>29</v>
      </c>
      <c r="B4" s="6" t="s">
        <v>28</v>
      </c>
      <c r="C4" s="6" t="s">
        <v>79</v>
      </c>
      <c r="D4" s="6">
        <v>1.8</v>
      </c>
      <c r="E4" s="6">
        <v>289</v>
      </c>
      <c r="F4" s="6">
        <v>301</v>
      </c>
      <c r="G4" s="14">
        <f t="shared" si="0"/>
        <v>-3.9867109634551492E-2</v>
      </c>
      <c r="H4" s="6">
        <v>5</v>
      </c>
      <c r="I4" s="24">
        <v>0.28000000000000003</v>
      </c>
      <c r="J4" s="50" t="s">
        <v>260</v>
      </c>
    </row>
    <row r="5" spans="1:10" x14ac:dyDescent="0.3">
      <c r="A5" s="3" t="s">
        <v>32</v>
      </c>
      <c r="B5" s="3" t="s">
        <v>31</v>
      </c>
      <c r="C5" s="3" t="s">
        <v>89</v>
      </c>
      <c r="D5" s="3">
        <v>3.5</v>
      </c>
      <c r="E5" s="3">
        <v>178</v>
      </c>
      <c r="F5" s="3">
        <v>165</v>
      </c>
      <c r="G5" s="13">
        <f t="shared" si="0"/>
        <v>7.8787878787878782E-2</v>
      </c>
      <c r="H5" s="3">
        <v>9.5</v>
      </c>
      <c r="I5" s="23">
        <v>0.42</v>
      </c>
      <c r="J5" s="49" t="s">
        <v>260</v>
      </c>
    </row>
    <row r="6" spans="1:10" x14ac:dyDescent="0.3">
      <c r="A6" s="6" t="s">
        <v>36</v>
      </c>
      <c r="B6" s="6" t="s">
        <v>35</v>
      </c>
      <c r="C6" s="6" t="s">
        <v>79</v>
      </c>
      <c r="D6" s="6">
        <v>4.2</v>
      </c>
      <c r="E6" s="6">
        <v>143</v>
      </c>
      <c r="F6" s="6">
        <v>158</v>
      </c>
      <c r="G6" s="14">
        <f t="shared" si="0"/>
        <v>-9.49367088607595E-2</v>
      </c>
      <c r="H6" s="6">
        <v>12</v>
      </c>
      <c r="I6" s="24">
        <v>0.31</v>
      </c>
      <c r="J6" s="51" t="s">
        <v>261</v>
      </c>
    </row>
    <row r="7" spans="1:10" x14ac:dyDescent="0.3">
      <c r="A7" s="3" t="s">
        <v>40</v>
      </c>
      <c r="B7" s="3" t="s">
        <v>39</v>
      </c>
      <c r="C7" s="3" t="s">
        <v>97</v>
      </c>
      <c r="D7" s="3">
        <v>3.9</v>
      </c>
      <c r="E7" s="3">
        <v>112</v>
      </c>
      <c r="F7" s="3">
        <v>108</v>
      </c>
      <c r="G7" s="13">
        <f t="shared" si="0"/>
        <v>3.7037037037037035E-2</v>
      </c>
      <c r="H7" s="3">
        <v>18</v>
      </c>
      <c r="I7" s="23">
        <v>0.22</v>
      </c>
      <c r="J7" s="52" t="s">
        <v>262</v>
      </c>
    </row>
    <row r="8" spans="1:10" x14ac:dyDescent="0.3">
      <c r="A8" s="6" t="s">
        <v>43</v>
      </c>
      <c r="B8" s="6" t="s">
        <v>42</v>
      </c>
      <c r="C8" s="6" t="s">
        <v>89</v>
      </c>
      <c r="D8" s="6">
        <v>5.0999999999999996</v>
      </c>
      <c r="E8" s="6">
        <v>87</v>
      </c>
      <c r="F8" s="6">
        <v>90</v>
      </c>
      <c r="G8" s="14">
        <f t="shared" si="0"/>
        <v>-3.3333333333333333E-2</v>
      </c>
      <c r="H8" s="6">
        <v>11</v>
      </c>
      <c r="I8" s="24">
        <v>0.38</v>
      </c>
      <c r="J8" s="51" t="s">
        <v>262</v>
      </c>
    </row>
    <row r="9" spans="1:10" x14ac:dyDescent="0.3">
      <c r="A9" s="3" t="s">
        <v>46</v>
      </c>
      <c r="B9" s="3" t="s">
        <v>45</v>
      </c>
      <c r="C9" s="3" t="s">
        <v>104</v>
      </c>
      <c r="D9" s="3">
        <v>6.3</v>
      </c>
      <c r="E9" s="3">
        <v>56</v>
      </c>
      <c r="F9" s="3">
        <v>61</v>
      </c>
      <c r="G9" s="13">
        <f t="shared" si="0"/>
        <v>-8.1967213114754092E-2</v>
      </c>
      <c r="H9" s="3">
        <v>14.5</v>
      </c>
      <c r="I9" s="23">
        <v>0.28999999999999998</v>
      </c>
      <c r="J9" s="53" t="s">
        <v>263</v>
      </c>
    </row>
    <row r="10" spans="1:10" x14ac:dyDescent="0.3">
      <c r="A10" s="6" t="s">
        <v>49</v>
      </c>
      <c r="B10" s="6" t="s">
        <v>48</v>
      </c>
      <c r="C10" s="6" t="s">
        <v>89</v>
      </c>
      <c r="D10" s="6">
        <v>4.8</v>
      </c>
      <c r="E10" s="6">
        <v>34</v>
      </c>
      <c r="F10" s="6">
        <v>38</v>
      </c>
      <c r="G10" s="14">
        <f t="shared" si="0"/>
        <v>-0.10526315789473684</v>
      </c>
      <c r="H10" s="6">
        <v>9</v>
      </c>
      <c r="I10" s="24">
        <v>0.44</v>
      </c>
      <c r="J10" s="51" t="s">
        <v>262</v>
      </c>
    </row>
    <row r="11" spans="1:10" x14ac:dyDescent="0.3">
      <c r="A11" s="3" t="s">
        <v>52</v>
      </c>
      <c r="B11" s="3" t="s">
        <v>51</v>
      </c>
      <c r="C11" s="3" t="s">
        <v>109</v>
      </c>
      <c r="D11" s="3">
        <v>7.5</v>
      </c>
      <c r="E11" s="3">
        <v>23</v>
      </c>
      <c r="F11" s="3">
        <v>19</v>
      </c>
      <c r="G11" s="13">
        <f t="shared" si="0"/>
        <v>0.21052631578947367</v>
      </c>
      <c r="H11" s="3">
        <v>22</v>
      </c>
      <c r="I11" s="23">
        <v>0.48</v>
      </c>
      <c r="J11" s="53" t="s">
        <v>263</v>
      </c>
    </row>
    <row r="12" spans="1:10" x14ac:dyDescent="0.3">
      <c r="A12" s="6" t="s">
        <v>55</v>
      </c>
      <c r="B12" s="6" t="s">
        <v>54</v>
      </c>
      <c r="C12" s="6" t="s">
        <v>79</v>
      </c>
      <c r="D12" s="6">
        <v>9.1</v>
      </c>
      <c r="E12" s="6">
        <v>14</v>
      </c>
      <c r="F12" s="6">
        <v>17</v>
      </c>
      <c r="G12" s="14">
        <f t="shared" si="0"/>
        <v>-0.17647058823529413</v>
      </c>
      <c r="H12" s="6">
        <v>13</v>
      </c>
      <c r="I12" s="24">
        <v>0.3</v>
      </c>
      <c r="J12" s="54" t="s">
        <v>264</v>
      </c>
    </row>
    <row r="13" spans="1:10" x14ac:dyDescent="0.3">
      <c r="A13" s="3" t="s">
        <v>114</v>
      </c>
      <c r="B13" s="3" t="s">
        <v>115</v>
      </c>
      <c r="C13" s="3" t="s">
        <v>109</v>
      </c>
      <c r="D13" s="3">
        <v>8.1999999999999993</v>
      </c>
      <c r="E13" s="3">
        <v>14</v>
      </c>
      <c r="F13" s="3">
        <v>12</v>
      </c>
      <c r="G13" s="13">
        <f t="shared" si="0"/>
        <v>0.16666666666666666</v>
      </c>
      <c r="H13" s="3">
        <v>28</v>
      </c>
      <c r="I13" s="23">
        <v>0.35</v>
      </c>
      <c r="J13" s="55" t="s">
        <v>264</v>
      </c>
    </row>
    <row r="14" spans="1:10" x14ac:dyDescent="0.3">
      <c r="A14" s="6" t="s">
        <v>117</v>
      </c>
      <c r="B14" s="6" t="s">
        <v>118</v>
      </c>
      <c r="C14" s="6" t="s">
        <v>119</v>
      </c>
      <c r="D14" s="6">
        <v>6.8</v>
      </c>
      <c r="E14" s="6">
        <v>34</v>
      </c>
      <c r="F14" s="6">
        <v>40</v>
      </c>
      <c r="G14" s="14">
        <f t="shared" si="0"/>
        <v>-0.15</v>
      </c>
      <c r="H14" s="6">
        <v>7</v>
      </c>
      <c r="I14" s="24">
        <v>0.55000000000000004</v>
      </c>
      <c r="J14" s="56" t="s">
        <v>263</v>
      </c>
    </row>
    <row r="17" spans="1:3" x14ac:dyDescent="0.3">
      <c r="A17" t="s">
        <v>18</v>
      </c>
      <c r="B17" t="s">
        <v>209</v>
      </c>
      <c r="C17" t="s">
        <v>210</v>
      </c>
    </row>
    <row r="18" spans="1:3" x14ac:dyDescent="0.3">
      <c r="A18" t="s">
        <v>211</v>
      </c>
      <c r="B18">
        <v>312</v>
      </c>
      <c r="C18">
        <v>278</v>
      </c>
    </row>
    <row r="19" spans="1:3" x14ac:dyDescent="0.3">
      <c r="A19" t="s">
        <v>28</v>
      </c>
      <c r="B19">
        <v>289</v>
      </c>
      <c r="C19">
        <v>301</v>
      </c>
    </row>
    <row r="20" spans="1:3" x14ac:dyDescent="0.3">
      <c r="A20" t="s">
        <v>31</v>
      </c>
      <c r="B20">
        <v>178</v>
      </c>
      <c r="C20">
        <v>165</v>
      </c>
    </row>
    <row r="21" spans="1:3" x14ac:dyDescent="0.3">
      <c r="A21" t="s">
        <v>35</v>
      </c>
      <c r="B21">
        <v>143</v>
      </c>
      <c r="C21">
        <v>158</v>
      </c>
    </row>
    <row r="22" spans="1:3" x14ac:dyDescent="0.3">
      <c r="A22" t="s">
        <v>39</v>
      </c>
      <c r="B22">
        <v>112</v>
      </c>
      <c r="C22">
        <v>108</v>
      </c>
    </row>
    <row r="23" spans="1:3" x14ac:dyDescent="0.3">
      <c r="A23" t="s">
        <v>212</v>
      </c>
      <c r="B23">
        <v>87</v>
      </c>
      <c r="C23">
        <v>90</v>
      </c>
    </row>
    <row r="24" spans="1:3" x14ac:dyDescent="0.3">
      <c r="A24" t="s">
        <v>45</v>
      </c>
      <c r="B24">
        <v>56</v>
      </c>
      <c r="C24">
        <v>61</v>
      </c>
    </row>
    <row r="25" spans="1:3" x14ac:dyDescent="0.3">
      <c r="A25" t="s">
        <v>213</v>
      </c>
      <c r="B25">
        <v>34</v>
      </c>
      <c r="C25">
        <v>38</v>
      </c>
    </row>
    <row r="26" spans="1:3" x14ac:dyDescent="0.3">
      <c r="A26" t="s">
        <v>51</v>
      </c>
      <c r="B26">
        <v>23</v>
      </c>
      <c r="C26">
        <v>19</v>
      </c>
    </row>
    <row r="27" spans="1:3" x14ac:dyDescent="0.3">
      <c r="A27" t="s">
        <v>54</v>
      </c>
      <c r="B27">
        <v>14</v>
      </c>
      <c r="C27">
        <v>17</v>
      </c>
    </row>
    <row r="28" spans="1:3" x14ac:dyDescent="0.3">
      <c r="A28" t="s">
        <v>115</v>
      </c>
      <c r="B28">
        <v>14</v>
      </c>
      <c r="C28">
        <v>12</v>
      </c>
    </row>
    <row r="29" spans="1:3" x14ac:dyDescent="0.3">
      <c r="A29" t="s">
        <v>118</v>
      </c>
      <c r="B29">
        <v>34</v>
      </c>
      <c r="C29">
        <v>40</v>
      </c>
    </row>
  </sheetData>
  <mergeCells count="1">
    <mergeCell ref="A1:J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showGridLines="0" workbookViewId="0">
      <selection activeCell="J12" sqref="J12"/>
    </sheetView>
  </sheetViews>
  <sheetFormatPr defaultRowHeight="14.4" x14ac:dyDescent="0.3"/>
  <cols>
    <col min="1" max="1" width="10" customWidth="1"/>
    <col min="2" max="2" width="18" customWidth="1"/>
    <col min="3" max="3" width="9" customWidth="1"/>
    <col min="4" max="4" width="26" customWidth="1"/>
    <col min="5" max="5" width="16" customWidth="1"/>
    <col min="6" max="6" width="20" customWidth="1"/>
    <col min="7" max="8" width="16" customWidth="1"/>
    <col min="9" max="9" width="20" customWidth="1"/>
    <col min="10" max="10" width="18" customWidth="1"/>
  </cols>
  <sheetData>
    <row r="1" spans="1:10" ht="34.950000000000003" customHeight="1" x14ac:dyDescent="0.3">
      <c r="A1" s="42" t="s">
        <v>214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3">
      <c r="A2" s="12" t="s">
        <v>124</v>
      </c>
      <c r="B2" s="12" t="s">
        <v>215</v>
      </c>
      <c r="C2" s="12" t="s">
        <v>19</v>
      </c>
      <c r="D2" s="12" t="s">
        <v>18</v>
      </c>
      <c r="E2" s="12" t="s">
        <v>216</v>
      </c>
      <c r="F2" s="12" t="s">
        <v>217</v>
      </c>
      <c r="G2" s="12" t="s">
        <v>218</v>
      </c>
      <c r="H2" s="12" t="s">
        <v>219</v>
      </c>
      <c r="I2" s="12" t="s">
        <v>220</v>
      </c>
      <c r="J2" s="12" t="s">
        <v>76</v>
      </c>
    </row>
    <row r="3" spans="1:10" x14ac:dyDescent="0.3">
      <c r="A3" s="3" t="s">
        <v>221</v>
      </c>
      <c r="B3" s="3" t="s">
        <v>222</v>
      </c>
      <c r="C3" s="3" t="s">
        <v>25</v>
      </c>
      <c r="D3" s="3" t="s">
        <v>24</v>
      </c>
      <c r="E3" s="3">
        <v>30</v>
      </c>
      <c r="F3" s="3">
        <v>30</v>
      </c>
      <c r="G3" s="25">
        <f t="shared" ref="G3:G12" si="0">F3-E3</f>
        <v>0</v>
      </c>
      <c r="H3" s="13">
        <f t="shared" ref="H3:H12" si="1">IF(E3=0,"-",G3/E3)</f>
        <v>0</v>
      </c>
      <c r="I3" s="26">
        <f>G3*28</f>
        <v>0</v>
      </c>
      <c r="J3" s="49" t="s">
        <v>265</v>
      </c>
    </row>
    <row r="4" spans="1:10" x14ac:dyDescent="0.3">
      <c r="A4" s="6" t="s">
        <v>223</v>
      </c>
      <c r="B4" s="6" t="s">
        <v>224</v>
      </c>
      <c r="C4" s="6" t="s">
        <v>29</v>
      </c>
      <c r="D4" s="6" t="s">
        <v>28</v>
      </c>
      <c r="E4" s="6">
        <v>25</v>
      </c>
      <c r="F4" s="6">
        <v>24</v>
      </c>
      <c r="G4" s="27">
        <f t="shared" si="0"/>
        <v>-1</v>
      </c>
      <c r="H4" s="14">
        <f t="shared" si="1"/>
        <v>-0.04</v>
      </c>
      <c r="I4" s="28">
        <f>G4*10</f>
        <v>-10</v>
      </c>
      <c r="J4" s="56" t="s">
        <v>266</v>
      </c>
    </row>
    <row r="5" spans="1:10" x14ac:dyDescent="0.3">
      <c r="A5" s="3" t="s">
        <v>225</v>
      </c>
      <c r="B5" s="3" t="s">
        <v>226</v>
      </c>
      <c r="C5" s="3" t="s">
        <v>32</v>
      </c>
      <c r="D5" s="3" t="s">
        <v>31</v>
      </c>
      <c r="E5" s="3">
        <v>5</v>
      </c>
      <c r="F5" s="3">
        <v>5</v>
      </c>
      <c r="G5" s="25">
        <f t="shared" si="0"/>
        <v>0</v>
      </c>
      <c r="H5" s="13">
        <f t="shared" si="1"/>
        <v>0</v>
      </c>
      <c r="I5" s="26">
        <f>G5*95</f>
        <v>0</v>
      </c>
      <c r="J5" s="49" t="s">
        <v>265</v>
      </c>
    </row>
    <row r="6" spans="1:10" x14ac:dyDescent="0.3">
      <c r="A6" s="6" t="s">
        <v>227</v>
      </c>
      <c r="B6" s="6" t="s">
        <v>228</v>
      </c>
      <c r="C6" s="6" t="s">
        <v>40</v>
      </c>
      <c r="D6" s="6" t="s">
        <v>39</v>
      </c>
      <c r="E6" s="6">
        <v>24</v>
      </c>
      <c r="F6" s="6">
        <v>23.5</v>
      </c>
      <c r="G6" s="27">
        <f t="shared" si="0"/>
        <v>-0.5</v>
      </c>
      <c r="H6" s="14">
        <f t="shared" si="1"/>
        <v>-2.0833333333333332E-2</v>
      </c>
      <c r="I6" s="28">
        <f>G6*18</f>
        <v>-9</v>
      </c>
      <c r="J6" s="56" t="s">
        <v>266</v>
      </c>
    </row>
    <row r="7" spans="1:10" x14ac:dyDescent="0.3">
      <c r="A7" s="3" t="s">
        <v>229</v>
      </c>
      <c r="B7" s="3" t="s">
        <v>230</v>
      </c>
      <c r="C7" s="3" t="s">
        <v>43</v>
      </c>
      <c r="D7" s="3" t="s">
        <v>143</v>
      </c>
      <c r="E7" s="3">
        <v>8</v>
      </c>
      <c r="F7" s="3">
        <v>8</v>
      </c>
      <c r="G7" s="25">
        <f t="shared" si="0"/>
        <v>0</v>
      </c>
      <c r="H7" s="13">
        <f t="shared" si="1"/>
        <v>0</v>
      </c>
      <c r="I7" s="26">
        <f>G7*55</f>
        <v>0</v>
      </c>
      <c r="J7" s="49" t="s">
        <v>265</v>
      </c>
    </row>
    <row r="8" spans="1:10" x14ac:dyDescent="0.3">
      <c r="A8" s="6" t="s">
        <v>231</v>
      </c>
      <c r="B8" s="6" t="s">
        <v>222</v>
      </c>
      <c r="C8" s="6" t="s">
        <v>36</v>
      </c>
      <c r="D8" s="6" t="s">
        <v>35</v>
      </c>
      <c r="E8" s="6">
        <v>20</v>
      </c>
      <c r="F8" s="6">
        <v>20</v>
      </c>
      <c r="G8" s="27">
        <f t="shared" si="0"/>
        <v>0</v>
      </c>
      <c r="H8" s="14">
        <f t="shared" si="1"/>
        <v>0</v>
      </c>
      <c r="I8" s="28">
        <f>G8*48</f>
        <v>0</v>
      </c>
      <c r="J8" s="50" t="s">
        <v>265</v>
      </c>
    </row>
    <row r="9" spans="1:10" x14ac:dyDescent="0.3">
      <c r="A9" s="3" t="s">
        <v>147</v>
      </c>
      <c r="B9" s="3" t="s">
        <v>226</v>
      </c>
      <c r="C9" s="3" t="s">
        <v>49</v>
      </c>
      <c r="D9" s="3" t="s">
        <v>157</v>
      </c>
      <c r="E9" s="3">
        <v>9</v>
      </c>
      <c r="F9" s="3">
        <v>9</v>
      </c>
      <c r="G9" s="25">
        <f t="shared" si="0"/>
        <v>0</v>
      </c>
      <c r="H9" s="13">
        <f t="shared" si="1"/>
        <v>0</v>
      </c>
      <c r="I9" s="26">
        <f>G9*90</f>
        <v>0</v>
      </c>
      <c r="J9" s="49" t="s">
        <v>267</v>
      </c>
    </row>
    <row r="10" spans="1:10" x14ac:dyDescent="0.3">
      <c r="A10" s="6" t="s">
        <v>155</v>
      </c>
      <c r="B10" s="6" t="s">
        <v>224</v>
      </c>
      <c r="C10" s="6" t="s">
        <v>29</v>
      </c>
      <c r="D10" s="6" t="s">
        <v>28</v>
      </c>
      <c r="E10" s="6">
        <v>25</v>
      </c>
      <c r="F10" s="6">
        <v>25</v>
      </c>
      <c r="G10" s="27">
        <f t="shared" si="0"/>
        <v>0</v>
      </c>
      <c r="H10" s="14">
        <f t="shared" si="1"/>
        <v>0</v>
      </c>
      <c r="I10" s="28">
        <f>G10*10</f>
        <v>0</v>
      </c>
      <c r="J10" s="50" t="s">
        <v>265</v>
      </c>
    </row>
    <row r="11" spans="1:10" x14ac:dyDescent="0.3">
      <c r="A11" s="3" t="s">
        <v>161</v>
      </c>
      <c r="B11" s="3" t="s">
        <v>232</v>
      </c>
      <c r="C11" s="3" t="s">
        <v>52</v>
      </c>
      <c r="D11" s="3" t="s">
        <v>51</v>
      </c>
      <c r="E11" s="3">
        <v>10</v>
      </c>
      <c r="F11" s="3">
        <v>8.5</v>
      </c>
      <c r="G11" s="25">
        <f t="shared" si="0"/>
        <v>-1.5</v>
      </c>
      <c r="H11" s="13">
        <f t="shared" si="1"/>
        <v>-0.15</v>
      </c>
      <c r="I11" s="26">
        <f>G11*110</f>
        <v>-165</v>
      </c>
      <c r="J11" s="53" t="s">
        <v>266</v>
      </c>
    </row>
    <row r="12" spans="1:10" x14ac:dyDescent="0.3">
      <c r="A12" s="6" t="s">
        <v>196</v>
      </c>
      <c r="B12" s="6" t="s">
        <v>222</v>
      </c>
      <c r="C12" s="6" t="s">
        <v>55</v>
      </c>
      <c r="D12" s="6" t="s">
        <v>54</v>
      </c>
      <c r="E12" s="6">
        <v>15</v>
      </c>
      <c r="F12" s="6">
        <v>15</v>
      </c>
      <c r="G12" s="27">
        <f t="shared" si="0"/>
        <v>0</v>
      </c>
      <c r="H12" s="14">
        <f t="shared" si="1"/>
        <v>0</v>
      </c>
      <c r="I12" s="28">
        <f>G12*26</f>
        <v>0</v>
      </c>
      <c r="J12" s="50" t="s">
        <v>265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showGridLines="0" workbookViewId="0">
      <selection activeCell="H13" sqref="H13"/>
    </sheetView>
  </sheetViews>
  <sheetFormatPr defaultRowHeight="14.4" x14ac:dyDescent="0.3"/>
  <cols>
    <col min="1" max="1" width="24" customWidth="1"/>
    <col min="2" max="2" width="9" customWidth="1"/>
    <col min="3" max="3" width="24" customWidth="1"/>
    <col min="4" max="4" width="36" customWidth="1"/>
    <col min="5" max="6" width="16" customWidth="1"/>
    <col min="7" max="7" width="12" customWidth="1"/>
    <col min="8" max="8" width="22" customWidth="1"/>
  </cols>
  <sheetData>
    <row r="1" spans="1:8" ht="34.950000000000003" customHeight="1" x14ac:dyDescent="0.3">
      <c r="A1" s="42" t="s">
        <v>233</v>
      </c>
      <c r="B1" s="31"/>
      <c r="C1" s="31"/>
      <c r="D1" s="31"/>
      <c r="E1" s="31"/>
      <c r="F1" s="31"/>
      <c r="G1" s="31"/>
      <c r="H1" s="31"/>
    </row>
    <row r="2" spans="1:8" x14ac:dyDescent="0.3">
      <c r="A2" s="12" t="s">
        <v>234</v>
      </c>
      <c r="B2" s="12" t="s">
        <v>19</v>
      </c>
      <c r="C2" s="12" t="s">
        <v>18</v>
      </c>
      <c r="D2" s="12" t="s">
        <v>130</v>
      </c>
      <c r="E2" s="12" t="s">
        <v>235</v>
      </c>
      <c r="F2" s="12" t="s">
        <v>236</v>
      </c>
      <c r="G2" s="12" t="s">
        <v>237</v>
      </c>
      <c r="H2" s="12" t="s">
        <v>238</v>
      </c>
    </row>
    <row r="3" spans="1:8" x14ac:dyDescent="0.3">
      <c r="A3" s="3" t="s">
        <v>239</v>
      </c>
      <c r="B3" s="3" t="s">
        <v>32</v>
      </c>
      <c r="C3" s="3" t="s">
        <v>31</v>
      </c>
      <c r="D3" s="3" t="s">
        <v>240</v>
      </c>
      <c r="E3" s="3">
        <v>4.5</v>
      </c>
      <c r="F3" s="3">
        <v>4.5</v>
      </c>
      <c r="G3" s="3">
        <v>0</v>
      </c>
      <c r="H3" s="3"/>
    </row>
    <row r="4" spans="1:8" x14ac:dyDescent="0.3">
      <c r="A4" s="6" t="s">
        <v>241</v>
      </c>
      <c r="B4" s="6" t="s">
        <v>32</v>
      </c>
      <c r="C4" s="6" t="s">
        <v>31</v>
      </c>
      <c r="D4" s="6" t="s">
        <v>135</v>
      </c>
      <c r="E4" s="6">
        <v>4.5</v>
      </c>
      <c r="F4" s="6">
        <v>4.4000000000000004</v>
      </c>
      <c r="G4" s="6">
        <v>-2</v>
      </c>
      <c r="H4" s="6"/>
    </row>
    <row r="5" spans="1:8" x14ac:dyDescent="0.3">
      <c r="A5" s="3" t="s">
        <v>242</v>
      </c>
      <c r="B5" s="3" t="s">
        <v>32</v>
      </c>
      <c r="C5" s="3" t="s">
        <v>31</v>
      </c>
      <c r="D5" s="3" t="s">
        <v>135</v>
      </c>
      <c r="E5" s="3">
        <v>4.4000000000000004</v>
      </c>
      <c r="F5" s="3">
        <v>4.3</v>
      </c>
      <c r="G5" s="3">
        <v>-2</v>
      </c>
      <c r="H5" s="3"/>
    </row>
    <row r="6" spans="1:8" x14ac:dyDescent="0.3">
      <c r="A6" s="6" t="s">
        <v>243</v>
      </c>
      <c r="B6" s="6" t="s">
        <v>32</v>
      </c>
      <c r="C6" s="6" t="s">
        <v>31</v>
      </c>
      <c r="D6" s="6" t="s">
        <v>135</v>
      </c>
      <c r="E6" s="6">
        <v>4.3</v>
      </c>
      <c r="F6" s="6">
        <v>4.2</v>
      </c>
      <c r="G6" s="6">
        <v>-2</v>
      </c>
      <c r="H6" s="6"/>
    </row>
    <row r="7" spans="1:8" x14ac:dyDescent="0.3">
      <c r="A7" s="3" t="s">
        <v>244</v>
      </c>
      <c r="B7" s="3" t="s">
        <v>32</v>
      </c>
      <c r="C7" s="3" t="s">
        <v>31</v>
      </c>
      <c r="D7" s="3" t="s">
        <v>135</v>
      </c>
      <c r="E7" s="3">
        <v>4.2</v>
      </c>
      <c r="F7" s="3">
        <v>4.1500000000000004</v>
      </c>
      <c r="G7" s="3">
        <v>-1</v>
      </c>
      <c r="H7" s="3"/>
    </row>
    <row r="8" spans="1:8" x14ac:dyDescent="0.3">
      <c r="A8" s="6" t="s">
        <v>245</v>
      </c>
      <c r="B8" s="6" t="s">
        <v>32</v>
      </c>
      <c r="C8" s="6" t="s">
        <v>31</v>
      </c>
      <c r="D8" s="6" t="s">
        <v>135</v>
      </c>
      <c r="E8" s="6">
        <v>4.1500000000000004</v>
      </c>
      <c r="F8" s="6">
        <v>4.05</v>
      </c>
      <c r="G8" s="6">
        <v>-2</v>
      </c>
      <c r="H8" s="6"/>
    </row>
    <row r="9" spans="1:8" x14ac:dyDescent="0.3">
      <c r="A9" s="29" t="s">
        <v>246</v>
      </c>
      <c r="B9" s="29" t="s">
        <v>32</v>
      </c>
      <c r="C9" s="29" t="s">
        <v>31</v>
      </c>
      <c r="D9" s="57" t="s">
        <v>268</v>
      </c>
      <c r="E9" s="29">
        <v>4.05</v>
      </c>
      <c r="F9" s="29">
        <v>2.5499999999999998</v>
      </c>
      <c r="G9" s="29">
        <v>-30</v>
      </c>
      <c r="H9" s="55" t="s">
        <v>269</v>
      </c>
    </row>
    <row r="10" spans="1:8" x14ac:dyDescent="0.3">
      <c r="A10" s="29" t="s">
        <v>247</v>
      </c>
      <c r="B10" s="29" t="s">
        <v>32</v>
      </c>
      <c r="C10" s="29" t="s">
        <v>31</v>
      </c>
      <c r="D10" s="29" t="s">
        <v>248</v>
      </c>
      <c r="E10" s="29">
        <v>2.5499999999999998</v>
      </c>
      <c r="F10" s="29">
        <v>2.5499999999999998</v>
      </c>
      <c r="G10" s="29">
        <v>0</v>
      </c>
      <c r="H10" s="54" t="s">
        <v>270</v>
      </c>
    </row>
    <row r="11" spans="1:8" x14ac:dyDescent="0.3">
      <c r="A11" s="3" t="s">
        <v>249</v>
      </c>
      <c r="B11" s="3" t="s">
        <v>32</v>
      </c>
      <c r="C11" s="3" t="s">
        <v>31</v>
      </c>
      <c r="D11" s="3" t="s">
        <v>135</v>
      </c>
      <c r="E11" s="3">
        <v>2.5499999999999998</v>
      </c>
      <c r="F11" s="3">
        <v>2.5</v>
      </c>
      <c r="G11" s="3">
        <v>-1</v>
      </c>
      <c r="H11" s="3"/>
    </row>
    <row r="12" spans="1:8" x14ac:dyDescent="0.3">
      <c r="A12" s="6" t="s">
        <v>250</v>
      </c>
      <c r="B12" s="6" t="s">
        <v>32</v>
      </c>
      <c r="C12" s="6" t="s">
        <v>31</v>
      </c>
      <c r="D12" s="6" t="s">
        <v>135</v>
      </c>
      <c r="E12" s="6">
        <v>2.5</v>
      </c>
      <c r="F12" s="6">
        <v>2.4500000000000002</v>
      </c>
      <c r="G12" s="6">
        <v>-1</v>
      </c>
      <c r="H12" s="6"/>
    </row>
    <row r="13" spans="1:8" x14ac:dyDescent="0.3">
      <c r="A13" s="3" t="s">
        <v>251</v>
      </c>
      <c r="B13" s="3" t="s">
        <v>32</v>
      </c>
      <c r="C13" s="3" t="s">
        <v>31</v>
      </c>
      <c r="D13" s="3" t="s">
        <v>252</v>
      </c>
      <c r="E13" s="3">
        <v>2.4500000000000002</v>
      </c>
      <c r="F13" s="3">
        <v>2.4500000000000002</v>
      </c>
      <c r="G13" s="3">
        <v>0</v>
      </c>
      <c r="H13" s="55" t="s">
        <v>271</v>
      </c>
    </row>
    <row r="16" spans="1:8" ht="30" customHeight="1" x14ac:dyDescent="0.3">
      <c r="A16" s="46" t="s">
        <v>253</v>
      </c>
      <c r="B16" s="31"/>
      <c r="C16" s="31"/>
      <c r="D16" s="31"/>
      <c r="E16" s="31"/>
      <c r="F16" s="31"/>
      <c r="G16" s="31"/>
      <c r="H16" s="31"/>
    </row>
  </sheetData>
  <mergeCells count="2">
    <mergeCell ref="A16:H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Resumen</vt:lpstr>
      <vt:lpstr>📦 Inventario</vt:lpstr>
      <vt:lpstr>↕️ Entradas y Salidas</vt:lpstr>
      <vt:lpstr>🚨 Mermas y Alertas</vt:lpstr>
      <vt:lpstr>📈 Rotación</vt:lpstr>
      <vt:lpstr>🚚 Proveedores</vt:lpstr>
      <vt:lpstr>🕐 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garcia</cp:lastModifiedBy>
  <dcterms:created xsi:type="dcterms:W3CDTF">2026-03-27T18:20:55Z</dcterms:created>
  <dcterms:modified xsi:type="dcterms:W3CDTF">2026-04-06T04:36:55Z</dcterms:modified>
</cp:coreProperties>
</file>